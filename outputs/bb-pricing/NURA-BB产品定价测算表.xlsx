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40d4887f08941d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定价明细" sheetId="1" r:id="R79ed1d9ab49540b4"/>
    <x:sheet xmlns:r="http://schemas.openxmlformats.org/officeDocument/2006/relationships" name="品类汇总" sheetId="2" r:id="R7106f1e0c72c4c58"/>
    <x:sheet xmlns:r="http://schemas.openxmlformats.org/officeDocument/2006/relationships" name="定价说明" sheetId="3" r:id="R2c594e5f3485480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¥#,##0"/>
    <x:numFmt numFmtId="201" formatCode="¥#,##0.00"/>
  </x:numFmts>
  <x:fonts count="7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A1A1A"/>
      <x:name val="Carlito"/>
    </x:font>
    <x:font>
      <x:b/>
      <x:sz val="11"/>
      <x:name val="Carlito"/>
    </x:font>
    <x:font>
      <x:b/>
      <x:sz val="10"/>
      <x:color rgb="FF1A1A1A"/>
      <x:name val="Arial"/>
    </x:font>
    <x:font>
      <x:sz val="10"/>
      <x:color rgb="FF1A1A1A"/>
      <x:name val="Arial"/>
    </x:font>
    <x:font>
      <x:b/>
      <x:sz val="16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A1A1A"/>
      </x:patternFill>
    </x:fill>
    <x:fill>
      <x:patternFill patternType="solid">
        <x:fgColor rgb="FFC8A96A"/>
      </x:patternFill>
    </x:fill>
    <x:fill>
      <x:patternFill patternType="solid">
        <x:fgColor rgb="FFFAFAF7"/>
      </x:patternFill>
    </x:fill>
  </x:fills>
  <x:borders count="12">
    <x:border/>
    <x:border>
      <x:left style="thin">
        <x:color rgb="FFD8D2C4"/>
      </x:left>
      <x:top style="thin">
        <x:color rgb="FFD8D2C4"/>
      </x:top>
      <x:bottom style="thin">
        <x:color rgb="FFD8D2C4"/>
      </x:bottom>
    </x:border>
    <x:border>
      <x:top style="thin">
        <x:color rgb="FFD8D2C4"/>
      </x:top>
      <x:bottom style="thin">
        <x:color rgb="FFD8D2C4"/>
      </x:bottom>
    </x:border>
    <x:border>
      <x:right style="thin">
        <x:color rgb="FFD8D2C4"/>
      </x:right>
      <x:top style="thin">
        <x:color rgb="FFD8D2C4"/>
      </x:top>
      <x:bottom style="thin">
        <x:color rgb="FFD8D2C4"/>
      </x:bottom>
    </x:border>
    <x:border>
      <x:left style="thin">
        <x:color rgb="FFE6E0D2"/>
      </x:left>
      <x:top style="thin">
        <x:color rgb="FFE6E0D2"/>
      </x:top>
    </x:border>
    <x:border>
      <x:top style="thin">
        <x:color rgb="FFE6E0D2"/>
      </x:top>
    </x:border>
    <x:border>
      <x:right style="thin">
        <x:color rgb="FFE6E0D2"/>
      </x:right>
      <x:top style="thin">
        <x:color rgb="FFE6E0D2"/>
      </x:top>
    </x:border>
    <x:border>
      <x:left style="thin">
        <x:color rgb="FFE6E0D2"/>
      </x:left>
    </x:border>
    <x:border>
      <x:right style="thin">
        <x:color rgb="FFE6E0D2"/>
      </x:right>
    </x:border>
    <x:border>
      <x:left style="thin">
        <x:color rgb="FFE6E0D2"/>
      </x:left>
      <x:bottom style="thin">
        <x:color rgb="FFE6E0D2"/>
      </x:bottom>
    </x:border>
    <x:border>
      <x:bottom style="thin">
        <x:color rgb="FFE6E0D2"/>
      </x:bottom>
    </x:border>
    <x:border>
      <x:right style="thin">
        <x:color rgb="FFE6E0D2"/>
      </x:right>
      <x:bottom style="thin">
        <x:color rgb="FFE6E0D2"/>
      </x:bottom>
    </x:border>
  </x:borders>
  <x:cellStyleXfs count="1">
    <x:xf numFmtId="0" fontId="0" fillId="0" borderId="0"/>
  </x:cellStyleXfs>
  <x:cellXfs count="8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1" xfId="0" applyNumberFormat="1" applyFont="1" applyFill="1" applyBorder="1"/>
    <x:xf numFmtId="0" fontId="2" fillId="4" borderId="2" xfId="0" applyNumberFormat="1" applyFont="1" applyFill="1" applyBorder="1"/>
    <x:xf numFmtId="0" fontId="2" fillId="4" borderId="3" xfId="0" applyNumberFormat="1" applyFont="1" applyFill="1" applyBorder="1"/>
    <x:xf numFmtId="0" fontId="2" fillId="4" borderId="1" xfId="0" applyNumberFormat="1" applyFont="1" applyFill="1" applyBorder="1" applyAlignment="1">
      <x:alignment wrapText="1"/>
    </x:xf>
    <x:xf numFmtId="0" fontId="2" fillId="4" borderId="2" xfId="0" applyNumberFormat="1" applyFont="1" applyFill="1" applyBorder="1" applyAlignment="1">
      <x:alignment wrapText="1"/>
    </x:xf>
    <x:xf numFmtId="0" fontId="2" fillId="4" borderId="3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horizontal="center" wrapText="1"/>
    </x:xf>
    <x:xf numFmtId="0" fontId="2" fillId="4" borderId="2" xfId="0" applyNumberFormat="1" applyFont="1" applyFill="1" applyBorder="1" applyAlignment="1">
      <x:alignment horizontal="center" wrapText="1"/>
    </x:xf>
    <x:xf numFmtId="0" fontId="2" fillId="4" borderId="3" xfId="0" applyNumberFormat="1" applyFont="1" applyFill="1" applyBorder="1" applyAlignment="1">
      <x:alignment horizontal="center" wrapText="1"/>
    </x:xf>
    <x:xf numFmtId="0" fontId="2" fillId="4" borderId="1" xfId="0" applyNumberFormat="1" applyFont="1" applyFill="1" applyBorder="1" applyAlignment="1">
      <x:alignment horizontal="center" vertical="center" wrapText="1"/>
    </x:xf>
    <x:xf numFmtId="0" fontId="2" fillId="4" borderId="2" xfId="0" applyNumberFormat="1" applyFont="1" applyFill="1" applyBorder="1" applyAlignment="1">
      <x:alignment horizontal="center" vertical="center" wrapText="1"/>
    </x:xf>
    <x:xf numFmtId="0" fontId="2" fillId="4" borderId="3" xfId="0" applyNumberFormat="1" applyFont="1" applyFill="1" applyBorder="1" applyAlignment="1">
      <x:alignment horizontal="center" vertical="center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0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4" xfId="0" applyNumberFormat="1" applyFont="1" applyFill="1" applyBorder="1" applyAlignment="1">
      <x:alignment vertical="center"/>
    </x:xf>
    <x:xf numFmtId="0" fontId="0" fillId="0" borderId="5" xfId="0" applyNumberFormat="1" applyFont="1" applyFill="1" applyBorder="1" applyAlignment="1">
      <x:alignment vertical="center"/>
    </x:xf>
    <x:xf numFmtId="0" fontId="0" fillId="0" borderId="6" xfId="0" applyNumberFormat="1" applyFont="1" applyFill="1" applyBorder="1" applyAlignment="1">
      <x:alignment vertical="center"/>
    </x:xf>
    <x:xf numFmtId="0" fontId="0" fillId="0" borderId="7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0" fontId="0" fillId="0" borderId="8" xfId="0" applyNumberFormat="1" applyFont="1" applyFill="1" applyBorder="1" applyAlignment="1">
      <x:alignment vertical="center"/>
    </x:xf>
    <x:xf numFmtId="0" fontId="0" fillId="0" borderId="9" xfId="0" applyNumberFormat="1" applyFont="1" applyFill="1" applyBorder="1" applyAlignment="1">
      <x:alignment vertical="center"/>
    </x:xf>
    <x:xf numFmtId="0" fontId="0" fillId="0" borderId="10" xfId="0" applyNumberFormat="1" applyFont="1" applyFill="1" applyBorder="1" applyAlignment="1">
      <x:alignment vertical="center"/>
    </x:xf>
    <x:xf numFmtId="0" fontId="0" fillId="0" borderId="11" xfId="0" applyNumberFormat="1" applyFont="1" applyFill="1" applyBorder="1" applyAlignment="1">
      <x:alignment vertical="center"/>
    </x:xf>
    <x:xf numFmtId="200" fontId="0" fillId="0" borderId="5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200" fontId="0" fillId="0" borderId="10" xfId="0" applyNumberFormat="1" applyFont="1" applyFill="1" applyBorder="1" applyAlignment="1">
      <x:alignment vertical="center"/>
    </x:xf>
    <x:xf numFmtId="201" fontId="0" fillId="0" borderId="5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 applyAlignment="1">
      <x:alignment vertical="center"/>
    </x:xf>
    <x:xf numFmtId="201" fontId="0" fillId="0" borderId="10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2" xfId="0" applyNumberFormat="1" applyFont="1" applyFill="1" applyBorder="1" applyAlignment="1">
      <x:alignment horizontal="center"/>
    </x:xf>
    <x:xf numFmtId="0" fontId="3" fillId="4" borderId="3" xfId="0" applyNumberFormat="1" applyFont="1" applyFill="1" applyBorder="1" applyAlignment="1">
      <x:alignment horizontal="center"/>
    </x:xf>
    <x:xf numFmtId="201" fontId="0" fillId="0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/>
    <x:xf numFmtId="0" fontId="4" fillId="3" borderId="0" xfId="0" applyNumberFormat="1" applyFont="1" applyFill="1" applyBorder="1" applyAlignment="1">
      <x:alignment horizontal="center"/>
    </x:xf>
    <x:xf numFmtId="0" fontId="4" fillId="4" borderId="1" xfId="0" applyNumberFormat="1" applyFont="1" applyFill="1" applyBorder="1" applyAlignment="1">
      <x:alignment horizontal="center" vertical="center" wrapText="1"/>
    </x:xf>
    <x:xf numFmtId="0" fontId="4" fillId="4" borderId="2" xfId="0" applyNumberFormat="1" applyFont="1" applyFill="1" applyBorder="1" applyAlignment="1">
      <x:alignment horizontal="center" vertical="center" wrapText="1"/>
    </x:xf>
    <x:xf numFmtId="0" fontId="4" fillId="4" borderId="3" xfId="0" applyNumberFormat="1" applyFont="1" applyFill="1" applyBorder="1" applyAlignment="1">
      <x:alignment horizontal="center" vertical="center" wrapText="1"/>
    </x:xf>
    <x:xf numFmtId="0" fontId="5" fillId="0" borderId="4" xfId="0" applyNumberFormat="1" applyFont="1" applyFill="1" applyBorder="1" applyAlignment="1">
      <x:alignment vertical="center"/>
    </x:xf>
    <x:xf numFmtId="0" fontId="5" fillId="0" borderId="5" xfId="0" applyNumberFormat="1" applyFont="1" applyFill="1" applyBorder="1" applyAlignment="1">
      <x:alignment vertical="center"/>
    </x:xf>
    <x:xf numFmtId="200" fontId="5" fillId="0" borderId="5" xfId="0" applyNumberFormat="1" applyFont="1" applyFill="1" applyBorder="1" applyAlignment="1">
      <x:alignment vertical="center"/>
    </x:xf>
    <x:xf numFmtId="201" fontId="5" fillId="0" borderId="5" xfId="0" applyNumberFormat="1" applyFont="1" applyFill="1" applyBorder="1" applyAlignment="1">
      <x:alignment vertical="center"/>
    </x:xf>
    <x:xf numFmtId="0" fontId="5" fillId="0" borderId="6" xfId="0" applyNumberFormat="1" applyFont="1" applyFill="1" applyBorder="1" applyAlignment="1">
      <x:alignment vertical="center"/>
    </x:xf>
    <x:xf numFmtId="0" fontId="5" fillId="0" borderId="7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200" fontId="5" fillId="0" borderId="0" xfId="0" applyNumberFormat="1" applyFont="1" applyFill="1" applyBorder="1" applyAlignment="1">
      <x:alignment vertical="center"/>
    </x:xf>
    <x:xf numFmtId="201" fontId="5" fillId="0" borderId="0" xfId="0" applyNumberFormat="1" applyFont="1" applyFill="1" applyBorder="1" applyAlignment="1">
      <x:alignment vertical="center"/>
    </x:xf>
    <x:xf numFmtId="0" fontId="5" fillId="0" borderId="8" xfId="0" applyNumberFormat="1" applyFont="1" applyFill="1" applyBorder="1" applyAlignment="1">
      <x:alignment vertical="center"/>
    </x:xf>
    <x:xf numFmtId="0" fontId="5" fillId="0" borderId="9" xfId="0" applyNumberFormat="1" applyFont="1" applyFill="1" applyBorder="1" applyAlignment="1">
      <x:alignment vertical="center"/>
    </x:xf>
    <x:xf numFmtId="0" fontId="5" fillId="0" borderId="10" xfId="0" applyNumberFormat="1" applyFont="1" applyFill="1" applyBorder="1" applyAlignment="1">
      <x:alignment vertical="center"/>
    </x:xf>
    <x:xf numFmtId="200" fontId="5" fillId="0" borderId="10" xfId="0" applyNumberFormat="1" applyFont="1" applyFill="1" applyBorder="1" applyAlignment="1">
      <x:alignment vertical="center"/>
    </x:xf>
    <x:xf numFmtId="201" fontId="5" fillId="0" borderId="10" xfId="0" applyNumberFormat="1" applyFont="1" applyFill="1" applyBorder="1" applyAlignment="1">
      <x:alignment vertical="center"/>
    </x:xf>
    <x:xf numFmtId="0" fontId="5" fillId="0" borderId="11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horizontal="center"/>
    </x:xf>
    <x:xf numFmtId="0" fontId="4" fillId="4" borderId="1" xfId="0" applyNumberFormat="1" applyFont="1" applyFill="1" applyBorder="1" applyAlignment="1">
      <x:alignment horizontal="center"/>
    </x:xf>
    <x:xf numFmtId="0" fontId="4" fillId="4" borderId="2" xfId="0" applyNumberFormat="1" applyFont="1" applyFill="1" applyBorder="1" applyAlignment="1">
      <x:alignment horizontal="center"/>
    </x:xf>
    <x:xf numFmtId="0" fontId="4" fillId="4" borderId="3" xfId="0" applyNumberFormat="1" applyFont="1" applyFill="1" applyBorder="1" applyAlignment="1">
      <x:alignment horizontal="center"/>
    </x:xf>
    <x:xf numFmtId="201" fontId="5" fillId="0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wrapText="1"/>
    </x:xf>
    <x:xf numFmtId="0" fontId="6" fillId="2" borderId="0" xfId="0" applyNumberFormat="1" applyFont="1" applyFill="1" applyBorder="1" applyAlignment="1">
      <x:alignment horizontal="center" vertical="center"/>
    </x:xf>
    <x:xf numFmtId="0" fontId="6" fillId="2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d541605d48f46aa" /><Relationship Type="http://schemas.openxmlformats.org/officeDocument/2006/relationships/theme" Target="/xl/theme/theme1.xml" Id="R5034c2059e0340a9" /><Relationship Type="http://schemas.openxmlformats.org/officeDocument/2006/relationships/sharedStrings" Target="/xl/sharedStrings.xml" Id="Ref1beceda44040a0" /><Relationship Type="http://schemas.openxmlformats.org/officeDocument/2006/relationships/worksheet" Target="/xl/worksheets/sheet1.xml" Id="R79ed1d9ab49540b4" /><Relationship Type="http://schemas.openxmlformats.org/officeDocument/2006/relationships/worksheet" Target="/xl/worksheets/sheet2.xml" Id="R7106f1e0c72c4c58" /><Relationship Type="http://schemas.openxmlformats.org/officeDocument/2006/relationships/worksheet" Target="/xl/worksheets/sheet3.xml" Id="R2c594e5f3485480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7.78000020980835" hidden="0" customWidth="1"/>
    <x:col min="2" max="2" width="17.219999313354492" hidden="0" customWidth="1"/>
    <x:col min="3" max="3" width="10.5600004196167" hidden="0" customWidth="1"/>
    <x:col min="4" max="4" width="10.5600004196167" hidden="0" customWidth="1"/>
    <x:col min="5" max="5" width="10.5600004196167" hidden="0" customWidth="1"/>
    <x:col min="6" max="6" width="10.5600004196167" hidden="0" customWidth="1"/>
    <x:col min="7" max="7" width="10.5600004196167" hidden="0" customWidth="1"/>
    <x:col min="8" max="8" width="10.5600004196167" hidden="0" customWidth="1"/>
    <x:col min="9" max="9" width="10.5600004196167" hidden="0" customWidth="1"/>
    <x:col min="10" max="10" width="10.5600004196167" hidden="0" customWidth="1"/>
    <x:col min="11" max="11" width="10.5600004196167" hidden="0" customWidth="1"/>
    <x:col min="12" max="12" width="10.5600004196167" hidden="0" customWidth="1"/>
    <x:col min="13" max="13" width="10.5600004196167" hidden="0" customWidth="1"/>
    <x:col min="14" max="14" width="27.780000686645508" hidden="0" customWidth="1"/>
  </x:cols>
  <x:sheetData>
    <x:row r="1">
      <x:c r="A1" s="85" t="str">
        <x:v>NURA BB 产品定价测算表</x:v>
      </x:c>
      <x:c r="B1" s="57"/>
      <x:c r="C1" s="57"/>
      <x:c r="D1" s="57"/>
      <x:c r="E1" s="57"/>
      <x:c r="F1" s="57"/>
      <x:c r="G1" s="57"/>
      <x:c r="H1" s="57"/>
      <x:c r="I1" s="57"/>
      <x:c r="J1" s="57"/>
      <x:c r="K1" s="57"/>
      <x:c r="L1" s="57"/>
      <x:c r="M1" s="57"/>
      <x:c r="N1" s="57"/>
      <x:c r="O1" s="58"/>
      <x:c r="P1" s="58"/>
      <x:c r="Q1" s="58"/>
      <x:c r="R1" s="58"/>
      <x:c r="S1" s="58"/>
      <x:c r="T1" s="58"/>
      <x:c r="U1" s="58"/>
      <x:c r="V1" s="58"/>
      <x:c r="W1" s="58"/>
      <x:c r="X1" s="58"/>
      <x:c r="Y1" s="58"/>
      <x:c r="Z1" s="58"/>
    </x:row>
    <x:row r="2">
      <x:c r="A2" s="58"/>
      <x:c r="B2" s="58"/>
      <x:c r="C2" s="58"/>
      <x:c r="D2" s="58"/>
      <x:c r="E2" s="58"/>
      <x:c r="F2" s="58"/>
      <x:c r="G2" s="58"/>
      <x:c r="H2" s="58"/>
      <x:c r="I2" s="58"/>
      <x:c r="J2" s="58"/>
      <x:c r="K2" s="58"/>
      <x:c r="L2" s="58"/>
      <x:c r="M2" s="58"/>
      <x:c r="N2" s="58"/>
      <x:c r="O2" s="58"/>
      <x:c r="P2" s="58"/>
      <x:c r="Q2" s="58"/>
      <x:c r="R2" s="58"/>
      <x:c r="S2" s="58"/>
      <x:c r="T2" s="58"/>
      <x:c r="U2" s="58"/>
      <x:c r="V2" s="58"/>
      <x:c r="W2" s="58"/>
      <x:c r="X2" s="58"/>
      <x:c r="Y2" s="58"/>
      <x:c r="Z2" s="58"/>
    </x:row>
    <x:row r="3">
      <x:c r="A3" s="59" t="str">
        <x:v>参数</x:v>
      </x:c>
      <x:c r="B3" s="59" t="str">
        <x:v>默认值</x:v>
      </x:c>
      <x:c r="C3" s="58"/>
      <x:c r="D3" s="59" t="str">
        <x:v>口径</x:v>
      </x:c>
      <x:c r="E3" s="59" t="str">
        <x:v>公式</x:v>
      </x:c>
      <x:c r="F3" s="59" t="str"/>
      <x:c r="G3" s="59" t="str"/>
      <x:c r="H3" s="59" t="str"/>
      <x:c r="I3" s="58"/>
      <x:c r="J3" s="58"/>
      <x:c r="K3" s="58"/>
      <x:c r="L3" s="58"/>
      <x:c r="M3" s="58"/>
      <x:c r="N3" s="58"/>
      <x:c r="O3" s="58"/>
      <x:c r="P3" s="58"/>
      <x:c r="Q3" s="58"/>
      <x:c r="R3" s="58"/>
      <x:c r="S3" s="58"/>
      <x:c r="T3" s="58"/>
      <x:c r="U3" s="58"/>
      <x:c r="V3" s="58"/>
      <x:c r="W3" s="58"/>
      <x:c r="X3" s="58"/>
      <x:c r="Y3" s="58"/>
      <x:c r="Z3" s="58"/>
    </x:row>
    <x:row r="4">
      <x:c r="A4" s="58" t="str">
        <x:v>运费</x:v>
      </x:c>
      <x:c r="B4" s="58" t="n">
        <x:v>120</x:v>
      </x:c>
      <x:c r="C4" s="58"/>
      <x:c r="D4" s="58" t="str">
        <x:v>50%利润价</x:v>
      </x:c>
      <x:c r="E4" s="58" t="str">
        <x:v>(成本价 + 运费 + 包装) * (1 + 50%) * 汇率</x:v>
      </x:c>
      <x:c r="F4" s="58" t="str"/>
      <x:c r="G4" s="58" t="str"/>
      <x:c r="H4" s="58" t="str"/>
      <x:c r="I4" s="58"/>
      <x:c r="J4" s="58"/>
      <x:c r="K4" s="58"/>
      <x:c r="L4" s="58"/>
      <x:c r="M4" s="58"/>
      <x:c r="N4" s="58"/>
      <x:c r="O4" s="58"/>
      <x:c r="P4" s="58"/>
      <x:c r="Q4" s="58"/>
      <x:c r="R4" s="58"/>
      <x:c r="S4" s="58"/>
      <x:c r="T4" s="58"/>
      <x:c r="U4" s="58"/>
      <x:c r="V4" s="58"/>
      <x:c r="W4" s="58"/>
      <x:c r="X4" s="58"/>
      <x:c r="Y4" s="58"/>
      <x:c r="Z4" s="58"/>
    </x:row>
    <x:row r="5">
      <x:c r="A5" s="58" t="str">
        <x:v>包装</x:v>
      </x:c>
      <x:c r="B5" s="58" t="n">
        <x:v>30</x:v>
      </x:c>
      <x:c r="C5" s="58"/>
      <x:c r="D5" s="58" t="str">
        <x:v>75%利润价</x:v>
      </x:c>
      <x:c r="E5" s="58" t="str">
        <x:v>(成本价 + 运费 + 包装) * (1 + 75%) * 汇率</x:v>
      </x:c>
      <x:c r="F5" s="58" t="str"/>
      <x:c r="G5" s="58" t="str"/>
      <x:c r="H5" s="58" t="str"/>
      <x:c r="I5" s="58"/>
      <x:c r="J5" s="58"/>
      <x:c r="K5" s="58"/>
      <x:c r="L5" s="58"/>
      <x:c r="M5" s="58"/>
      <x:c r="N5" s="58"/>
      <x:c r="O5" s="58"/>
      <x:c r="P5" s="58"/>
      <x:c r="Q5" s="58"/>
      <x:c r="R5" s="58"/>
      <x:c r="S5" s="58"/>
      <x:c r="T5" s="58"/>
      <x:c r="U5" s="58"/>
      <x:c r="V5" s="58"/>
      <x:c r="W5" s="58"/>
      <x:c r="X5" s="58"/>
      <x:c r="Y5" s="58"/>
      <x:c r="Z5" s="58"/>
    </x:row>
    <x:row r="6">
      <x:c r="A6" s="58" t="str">
        <x:v>汇率</x:v>
      </x:c>
      <x:c r="B6" s="58" t="n">
        <x:v>1</x:v>
      </x:c>
      <x:c r="C6" s="58"/>
      <x:c r="D6" s="58" t="str">
        <x:v>100%利润价</x:v>
      </x:c>
      <x:c r="E6" s="58" t="str">
        <x:v>(成本价 + 运费 + 包装) * (1 + 100%) * 汇率</x:v>
      </x:c>
      <x:c r="F6" s="58" t="str"/>
      <x:c r="G6" s="58" t="str"/>
      <x:c r="H6" s="58" t="str"/>
      <x:c r="I6" s="58"/>
      <x:c r="J6" s="58"/>
      <x:c r="K6" s="58"/>
      <x:c r="L6" s="58"/>
      <x:c r="M6" s="58"/>
      <x:c r="N6" s="58"/>
      <x:c r="O6" s="58"/>
      <x:c r="P6" s="58"/>
      <x:c r="Q6" s="58"/>
      <x:c r="R6" s="58"/>
      <x:c r="S6" s="58"/>
      <x:c r="T6" s="58"/>
      <x:c r="U6" s="58"/>
      <x:c r="V6" s="58"/>
      <x:c r="W6" s="58"/>
      <x:c r="X6" s="58"/>
      <x:c r="Y6" s="58"/>
      <x:c r="Z6" s="58"/>
    </x:row>
    <x:row r="7">
      <x:c r="A7" s="58" t="str">
        <x:v>推荐利润率</x:v>
      </x:c>
      <x:c r="B7" s="58" t="n">
        <x:v>1</x:v>
      </x:c>
      <x:c r="C7" s="58"/>
      <x:c r="D7" s="58" t="str">
        <x:v>推荐定价</x:v>
      </x:c>
      <x:c r="E7" s="58" t="str">
        <x:v>按100%利润价取整，并限制在600-1200人民币目标区间</x:v>
      </x:c>
      <x:c r="F7" s="58" t="str"/>
      <x:c r="G7" s="58" t="str"/>
      <x:c r="H7" s="58" t="str"/>
      <x:c r="I7" s="58"/>
      <x:c r="J7" s="58"/>
      <x:c r="K7" s="58"/>
      <x:c r="L7" s="58"/>
      <x:c r="M7" s="58"/>
      <x:c r="N7" s="58"/>
      <x:c r="O7" s="58"/>
      <x:c r="P7" s="58"/>
      <x:c r="Q7" s="58"/>
      <x:c r="R7" s="58"/>
      <x:c r="S7" s="58"/>
      <x:c r="T7" s="58"/>
      <x:c r="U7" s="58"/>
      <x:c r="V7" s="58"/>
      <x:c r="W7" s="58"/>
      <x:c r="X7" s="58"/>
      <x:c r="Y7" s="58"/>
      <x:c r="Z7" s="58"/>
    </x:row>
    <x:row r="8">
      <x:c r="A8" s="58" t="str">
        <x:v>目标最低价</x:v>
      </x:c>
      <x:c r="B8" s="58" t="n">
        <x:v>600</x:v>
      </x:c>
      <x:c r="C8" s="58"/>
      <x:c r="D8" s="58"/>
      <x:c r="E8" s="58"/>
      <x:c r="F8" s="58"/>
      <x:c r="G8" s="58"/>
      <x:c r="H8" s="58"/>
      <x:c r="I8" s="58"/>
      <x:c r="J8" s="58"/>
      <x:c r="K8" s="58"/>
      <x:c r="L8" s="58"/>
      <x:c r="M8" s="58"/>
      <x:c r="N8" s="58"/>
      <x:c r="O8" s="58"/>
      <x:c r="P8" s="58"/>
      <x:c r="Q8" s="58"/>
      <x:c r="R8" s="58"/>
      <x:c r="S8" s="58"/>
      <x:c r="T8" s="58"/>
      <x:c r="U8" s="58"/>
      <x:c r="V8" s="58"/>
      <x:c r="W8" s="58"/>
      <x:c r="X8" s="58"/>
      <x:c r="Y8" s="58"/>
      <x:c r="Z8" s="58"/>
    </x:row>
    <x:row r="9">
      <x:c r="A9" s="58" t="str">
        <x:v>目标最高价</x:v>
      </x:c>
      <x:c r="B9" s="58" t="n">
        <x:v>1200</x:v>
      </x:c>
      <x:c r="C9" s="58"/>
      <x:c r="D9" s="58"/>
      <x:c r="E9" s="58"/>
      <x:c r="F9" s="58"/>
      <x:c r="G9" s="58"/>
      <x:c r="H9" s="58"/>
      <x:c r="I9" s="58"/>
      <x:c r="J9" s="58"/>
      <x:c r="K9" s="58"/>
      <x:c r="L9" s="58"/>
      <x:c r="M9" s="58"/>
      <x:c r="N9" s="58"/>
      <x:c r="O9" s="58"/>
      <x:c r="P9" s="58"/>
      <x:c r="Q9" s="58"/>
      <x:c r="R9" s="58"/>
      <x:c r="S9" s="58"/>
      <x:c r="T9" s="58"/>
      <x:c r="U9" s="58"/>
      <x:c r="V9" s="58"/>
      <x:c r="W9" s="58"/>
      <x:c r="X9" s="58"/>
      <x:c r="Y9" s="58"/>
      <x:c r="Z9" s="58"/>
    </x:row>
    <x:row r="10" ht="25.5" customHeight="1">
      <x:c r="A10" s="60" t="str">
        <x:v>款号</x:v>
      </x:c>
      <x:c r="B10" s="61" t="str">
        <x:v>产品名称</x:v>
      </x:c>
      <x:c r="C10" s="61" t="str">
        <x:v>原表零售价</x:v>
      </x:c>
      <x:c r="D10" s="61" t="str">
        <x:v>成本价</x:v>
      </x:c>
      <x:c r="E10" s="61" t="str">
        <x:v>运费</x:v>
      </x:c>
      <x:c r="F10" s="61" t="str">
        <x:v>包装</x:v>
      </x:c>
      <x:c r="G10" s="61" t="str">
        <x:v>汇率</x:v>
      </x:c>
      <x:c r="H10" s="61" t="str">
        <x:v>50%利润价</x:v>
      </x:c>
      <x:c r="I10" s="61" t="str">
        <x:v>75%利润价</x:v>
      </x:c>
      <x:c r="J10" s="61" t="str">
        <x:v>100%利润价</x:v>
      </x:c>
      <x:c r="K10" s="61" t="str">
        <x:v>推荐定价</x:v>
      </x:c>
      <x:c r="L10" s="61" t="str">
        <x:v>目标区间</x:v>
      </x:c>
      <x:c r="M10" s="61" t="str">
        <x:v>与原零售价差异</x:v>
      </x:c>
      <x:c r="N10" s="62" t="str">
        <x:v>原产品图公式</x:v>
      </x:c>
      <x:c r="O10" s="58"/>
      <x:c r="P10" s="58"/>
      <x:c r="Q10" s="58"/>
      <x:c r="R10" s="58"/>
      <x:c r="S10" s="58"/>
      <x:c r="T10" s="58"/>
      <x:c r="U10" s="58"/>
      <x:c r="V10" s="58"/>
      <x:c r="W10" s="58"/>
      <x:c r="X10" s="58"/>
      <x:c r="Y10" s="58"/>
      <x:c r="Z10" s="58"/>
    </x:row>
    <x:row r="11">
      <x:c r="A11" s="63" t="str">
        <x:v>BB01</x:v>
      </x:c>
      <x:c r="B11" s="64" t="str">
        <x:v>S925 银彩宝耳钉</x:v>
      </x:c>
      <x:c r="C11" s="65" t="n">
        <x:v>1850</x:v>
      </x:c>
      <x:c r="D11" s="66" t="n">
        <x:v>212.75</x:v>
      </x:c>
      <x:c r="E11" s="65" t="n">
        <x:f>$B$4</x:f>
        <x:v>120</x:v>
      </x:c>
      <x:c r="F11" s="65" t="n">
        <x:f>$B$5</x:f>
        <x:v>30</x:v>
      </x:c>
      <x:c r="G11" s="65" t="n">
        <x:f>$B$6</x:f>
        <x:v>1</x:v>
      </x:c>
      <x:c r="H11" s="65" t="n">
        <x:f>ROUND(($D11+$E11+$F11)*(1+50%)*$G11,0)</x:f>
        <x:v>544</x:v>
      </x:c>
      <x:c r="I11" s="65" t="n">
        <x:f>ROUND(($D11+$E11+$F11)*(1+75%)*$G11,0)</x:f>
        <x:v>635</x:v>
      </x:c>
      <x:c r="J11" s="65" t="n">
        <x:f>ROUND(($D11+$E11+$F11)*(1+100%)*$G11,0)</x:f>
        <x:v>726</x:v>
      </x:c>
      <x:c r="K11" s="65" t="n">
        <x:f>MIN($B$9,MAX($B$8,CEILING(J11,10)))</x:f>
        <x:v>730</x:v>
      </x:c>
      <x:c r="L11" s="65" t="str">
        <x:f>IF(AND(K11&gt;=$B$8,K11&lt;=$B$9),"目标内","需复核")</x:f>
        <x:v>目标内</x:v>
      </x:c>
      <x:c r="M11" s="65" t="n">
        <x:f>K11-C11</x:f>
        <x:v>-1120</x:v>
      </x:c>
      <x:c r="N11" s="67" t="str">
        <x:v>=DISPIMG("ID_F045D0C5BCD447159BD17FEEF4F46654",1)</x:v>
      </x:c>
      <x:c r="O11" s="58"/>
      <x:c r="P11" s="58"/>
      <x:c r="Q11" s="58"/>
      <x:c r="R11" s="58"/>
      <x:c r="S11" s="58"/>
      <x:c r="T11" s="58"/>
      <x:c r="U11" s="58"/>
      <x:c r="V11" s="58"/>
      <x:c r="W11" s="58"/>
      <x:c r="X11" s="58"/>
      <x:c r="Y11" s="58"/>
      <x:c r="Z11" s="58"/>
    </x:row>
    <x:row r="12">
      <x:c r="A12" s="68" t="str">
        <x:v>BB02</x:v>
      </x:c>
      <x:c r="B12" s="69" t="str">
        <x:v>S925 银彩宝耳钉</x:v>
      </x:c>
      <x:c r="C12" s="70" t="n">
        <x:v>2105</x:v>
      </x:c>
      <x:c r="D12" s="71" t="n">
        <x:v>242.075</x:v>
      </x:c>
      <x:c r="E12" s="70" t="n">
        <x:f>$B$4</x:f>
        <x:v>120</x:v>
      </x:c>
      <x:c r="F12" s="70" t="n">
        <x:f>$B$5</x:f>
        <x:v>30</x:v>
      </x:c>
      <x:c r="G12" s="70" t="n">
        <x:f>$B$6</x:f>
        <x:v>1</x:v>
      </x:c>
      <x:c r="H12" s="70" t="n">
        <x:f>ROUND(($D12+$E12+$F12)*(1+50%)*$G12,0)</x:f>
        <x:v>588</x:v>
      </x:c>
      <x:c r="I12" s="70" t="n">
        <x:f>ROUND(($D12+$E12+$F12)*(1+75%)*$G12,0)</x:f>
        <x:v>686</x:v>
      </x:c>
      <x:c r="J12" s="70" t="n">
        <x:f>ROUND(($D12+$E12+$F12)*(1+100%)*$G12,0)</x:f>
        <x:v>784</x:v>
      </x:c>
      <x:c r="K12" s="70" t="n">
        <x:f>MIN($B$9,MAX($B$8,CEILING(J12,10)))</x:f>
        <x:v>790</x:v>
      </x:c>
      <x:c r="L12" s="70" t="str">
        <x:f>IF(AND(K12&gt;=$B$8,K12&lt;=$B$9),"目标内","需复核")</x:f>
        <x:v>目标内</x:v>
      </x:c>
      <x:c r="M12" s="70" t="n">
        <x:f>K12-C12</x:f>
        <x:v>-1315</x:v>
      </x:c>
      <x:c r="N12" s="72" t="str">
        <x:v>=DISPIMG("ID_4C6B80B2241C49CC8841B6861135B90A",1)</x:v>
      </x:c>
      <x:c r="O12" s="58"/>
      <x:c r="P12" s="58"/>
      <x:c r="Q12" s="58"/>
      <x:c r="R12" s="58"/>
      <x:c r="S12" s="58"/>
      <x:c r="T12" s="58"/>
      <x:c r="U12" s="58"/>
      <x:c r="V12" s="58"/>
      <x:c r="W12" s="58"/>
      <x:c r="X12" s="58"/>
      <x:c r="Y12" s="58"/>
      <x:c r="Z12" s="58"/>
    </x:row>
    <x:row r="13">
      <x:c r="A13" s="68" t="str">
        <x:v>BB03</x:v>
      </x:c>
      <x:c r="B13" s="69" t="str">
        <x:v>S925 银彩宝耳钉</x:v>
      </x:c>
      <x:c r="C13" s="70" t="n">
        <x:v>1815</x:v>
      </x:c>
      <x:c r="D13" s="71" t="n">
        <x:v>208.725</x:v>
      </x:c>
      <x:c r="E13" s="70" t="n">
        <x:f>$B$4</x:f>
        <x:v>120</x:v>
      </x:c>
      <x:c r="F13" s="70" t="n">
        <x:f>$B$5</x:f>
        <x:v>30</x:v>
      </x:c>
      <x:c r="G13" s="70" t="n">
        <x:f>$B$6</x:f>
        <x:v>1</x:v>
      </x:c>
      <x:c r="H13" s="70" t="n">
        <x:f>ROUND(($D13+$E13+$F13)*(1+50%)*$G13,0)</x:f>
        <x:v>538</x:v>
      </x:c>
      <x:c r="I13" s="70" t="n">
        <x:f>ROUND(($D13+$E13+$F13)*(1+75%)*$G13,0)</x:f>
        <x:v>628</x:v>
      </x:c>
      <x:c r="J13" s="70" t="n">
        <x:f>ROUND(($D13+$E13+$F13)*(1+100%)*$G13,0)</x:f>
        <x:v>717</x:v>
      </x:c>
      <x:c r="K13" s="70" t="n">
        <x:f>MIN($B$9,MAX($B$8,CEILING(J13,10)))</x:f>
        <x:v>720</x:v>
      </x:c>
      <x:c r="L13" s="70" t="str">
        <x:f>IF(AND(K13&gt;=$B$8,K13&lt;=$B$9),"目标内","需复核")</x:f>
        <x:v>目标内</x:v>
      </x:c>
      <x:c r="M13" s="70" t="n">
        <x:f>K13-C13</x:f>
        <x:v>-1095</x:v>
      </x:c>
      <x:c r="N13" s="72" t="str">
        <x:v>=DISPIMG("ID_D9740B82E91A4D0E8E0A364EEA545A29",1)</x:v>
      </x:c>
      <x:c r="O13" s="58"/>
      <x:c r="P13" s="58"/>
      <x:c r="Q13" s="58"/>
      <x:c r="R13" s="58"/>
      <x:c r="S13" s="58"/>
      <x:c r="T13" s="58"/>
      <x:c r="U13" s="58"/>
      <x:c r="V13" s="58"/>
      <x:c r="W13" s="58"/>
      <x:c r="X13" s="58"/>
      <x:c r="Y13" s="58"/>
      <x:c r="Z13" s="58"/>
    </x:row>
    <x:row r="14">
      <x:c r="A14" s="68" t="str">
        <x:v>BB04</x:v>
      </x:c>
      <x:c r="B14" s="69" t="str">
        <x:v>S925 银彩宝耳钉</x:v>
      </x:c>
      <x:c r="C14" s="70" t="n">
        <x:v>1415</x:v>
      </x:c>
      <x:c r="D14" s="71" t="n">
        <x:v>162.725</x:v>
      </x:c>
      <x:c r="E14" s="70" t="n">
        <x:f>$B$4</x:f>
        <x:v>120</x:v>
      </x:c>
      <x:c r="F14" s="70" t="n">
        <x:f>$B$5</x:f>
        <x:v>30</x:v>
      </x:c>
      <x:c r="G14" s="70" t="n">
        <x:f>$B$6</x:f>
        <x:v>1</x:v>
      </x:c>
      <x:c r="H14" s="70" t="n">
        <x:f>ROUND(($D14+$E14+$F14)*(1+50%)*$G14,0)</x:f>
        <x:v>469</x:v>
      </x:c>
      <x:c r="I14" s="70" t="n">
        <x:f>ROUND(($D14+$E14+$F14)*(1+75%)*$G14,0)</x:f>
        <x:v>547</x:v>
      </x:c>
      <x:c r="J14" s="70" t="n">
        <x:f>ROUND(($D14+$E14+$F14)*(1+100%)*$G14,0)</x:f>
        <x:v>625</x:v>
      </x:c>
      <x:c r="K14" s="70" t="n">
        <x:f>MIN($B$9,MAX($B$8,CEILING(J14,10)))</x:f>
        <x:v>630</x:v>
      </x:c>
      <x:c r="L14" s="70" t="str">
        <x:f>IF(AND(K14&gt;=$B$8,K14&lt;=$B$9),"目标内","需复核")</x:f>
        <x:v>目标内</x:v>
      </x:c>
      <x:c r="M14" s="70" t="n">
        <x:f>K14-C14</x:f>
        <x:v>-785</x:v>
      </x:c>
      <x:c r="N14" s="72" t="str">
        <x:v>=DISPIMG("ID_5CF748CC81A845A89CC982499B500948",1)</x:v>
      </x:c>
      <x:c r="O14" s="58"/>
      <x:c r="P14" s="58"/>
      <x:c r="Q14" s="58"/>
      <x:c r="R14" s="58"/>
      <x:c r="S14" s="58"/>
      <x:c r="T14" s="58"/>
      <x:c r="U14" s="58"/>
      <x:c r="V14" s="58"/>
      <x:c r="W14" s="58"/>
      <x:c r="X14" s="58"/>
      <x:c r="Y14" s="58"/>
      <x:c r="Z14" s="58"/>
    </x:row>
    <x:row r="15">
      <x:c r="A15" s="68" t="str">
        <x:v>BB05</x:v>
      </x:c>
      <x:c r="B15" s="69" t="str">
        <x:v>S925 银彩宝耳钉</x:v>
      </x:c>
      <x:c r="C15" s="70" t="n">
        <x:v>2110</x:v>
      </x:c>
      <x:c r="D15" s="71" t="n">
        <x:v>242.65</x:v>
      </x:c>
      <x:c r="E15" s="70" t="n">
        <x:f>$B$4</x:f>
        <x:v>120</x:v>
      </x:c>
      <x:c r="F15" s="70" t="n">
        <x:f>$B$5</x:f>
        <x:v>30</x:v>
      </x:c>
      <x:c r="G15" s="70" t="n">
        <x:f>$B$6</x:f>
        <x:v>1</x:v>
      </x:c>
      <x:c r="H15" s="70" t="n">
        <x:f>ROUND(($D15+$E15+$F15)*(1+50%)*$G15,0)</x:f>
        <x:v>589</x:v>
      </x:c>
      <x:c r="I15" s="70" t="n">
        <x:f>ROUND(($D15+$E15+$F15)*(1+75%)*$G15,0)</x:f>
        <x:v>687</x:v>
      </x:c>
      <x:c r="J15" s="70" t="n">
        <x:f>ROUND(($D15+$E15+$F15)*(1+100%)*$G15,0)</x:f>
        <x:v>785</x:v>
      </x:c>
      <x:c r="K15" s="70" t="n">
        <x:f>MIN($B$9,MAX($B$8,CEILING(J15,10)))</x:f>
        <x:v>790</x:v>
      </x:c>
      <x:c r="L15" s="70" t="str">
        <x:f>IF(AND(K15&gt;=$B$8,K15&lt;=$B$9),"目标内","需复核")</x:f>
        <x:v>目标内</x:v>
      </x:c>
      <x:c r="M15" s="70" t="n">
        <x:f>K15-C15</x:f>
        <x:v>-1320</x:v>
      </x:c>
      <x:c r="N15" s="72" t="str">
        <x:v>=DISPIMG("ID_6D716F5553884A7F9D6936F1DDECC0C3",1)</x:v>
      </x:c>
      <x:c r="O15" s="58"/>
      <x:c r="P15" s="58"/>
      <x:c r="Q15" s="58"/>
      <x:c r="R15" s="58"/>
      <x:c r="S15" s="58"/>
      <x:c r="T15" s="58"/>
      <x:c r="U15" s="58"/>
      <x:c r="V15" s="58"/>
      <x:c r="W15" s="58"/>
      <x:c r="X15" s="58"/>
      <x:c r="Y15" s="58"/>
      <x:c r="Z15" s="58"/>
    </x:row>
    <x:row r="16">
      <x:c r="A16" s="68" t="str">
        <x:v>BB06</x:v>
      </x:c>
      <x:c r="B16" s="69" t="str">
        <x:v>925 银彩宝项链</x:v>
      </x:c>
      <x:c r="C16" s="70" t="n">
        <x:v>1975</x:v>
      </x:c>
      <x:c r="D16" s="71" t="n">
        <x:v>227.125</x:v>
      </x:c>
      <x:c r="E16" s="70" t="n">
        <x:f>$B$4</x:f>
        <x:v>120</x:v>
      </x:c>
      <x:c r="F16" s="70" t="n">
        <x:f>$B$5</x:f>
        <x:v>30</x:v>
      </x:c>
      <x:c r="G16" s="70" t="n">
        <x:f>$B$6</x:f>
        <x:v>1</x:v>
      </x:c>
      <x:c r="H16" s="70" t="n">
        <x:f>ROUND(($D16+$E16+$F16)*(1+50%)*$G16,0)</x:f>
        <x:v>566</x:v>
      </x:c>
      <x:c r="I16" s="70" t="n">
        <x:f>ROUND(($D16+$E16+$F16)*(1+75%)*$G16,0)</x:f>
        <x:v>660</x:v>
      </x:c>
      <x:c r="J16" s="70" t="n">
        <x:f>ROUND(($D16+$E16+$F16)*(1+100%)*$G16,0)</x:f>
        <x:v>754</x:v>
      </x:c>
      <x:c r="K16" s="70" t="n">
        <x:f>MIN($B$9,MAX($B$8,CEILING(J16,10)))</x:f>
        <x:v>760</x:v>
      </x:c>
      <x:c r="L16" s="70" t="str">
        <x:f>IF(AND(K16&gt;=$B$8,K16&lt;=$B$9),"目标内","需复核")</x:f>
        <x:v>目标内</x:v>
      </x:c>
      <x:c r="M16" s="70" t="n">
        <x:f>K16-C16</x:f>
        <x:v>-1215</x:v>
      </x:c>
      <x:c r="N16" s="72" t="str">
        <x:v>=DISPIMG("ID_3322288D028B4522BC992854CDE854A0",1)</x:v>
      </x:c>
      <x:c r="O16" s="58"/>
      <x:c r="P16" s="58"/>
      <x:c r="Q16" s="58"/>
      <x:c r="R16" s="58"/>
      <x:c r="S16" s="58"/>
      <x:c r="T16" s="58"/>
      <x:c r="U16" s="58"/>
      <x:c r="V16" s="58"/>
      <x:c r="W16" s="58"/>
      <x:c r="X16" s="58"/>
      <x:c r="Y16" s="58"/>
      <x:c r="Z16" s="58"/>
    </x:row>
    <x:row r="17">
      <x:c r="A17" s="68" t="str">
        <x:v>BB07</x:v>
      </x:c>
      <x:c r="B17" s="69" t="str">
        <x:v>925 银彩宝项链</x:v>
      </x:c>
      <x:c r="C17" s="70" t="n">
        <x:v>3125</x:v>
      </x:c>
      <x:c r="D17" s="71" t="n">
        <x:v>359.375</x:v>
      </x:c>
      <x:c r="E17" s="70" t="n">
        <x:f>$B$4</x:f>
        <x:v>120</x:v>
      </x:c>
      <x:c r="F17" s="70" t="n">
        <x:f>$B$5</x:f>
        <x:v>30</x:v>
      </x:c>
      <x:c r="G17" s="70" t="n">
        <x:f>$B$6</x:f>
        <x:v>1</x:v>
      </x:c>
      <x:c r="H17" s="70" t="n">
        <x:f>ROUND(($D17+$E17+$F17)*(1+50%)*$G17,0)</x:f>
        <x:v>764</x:v>
      </x:c>
      <x:c r="I17" s="70" t="n">
        <x:f>ROUND(($D17+$E17+$F17)*(1+75%)*$G17,0)</x:f>
        <x:v>891</x:v>
      </x:c>
      <x:c r="J17" s="70" t="n">
        <x:f>ROUND(($D17+$E17+$F17)*(1+100%)*$G17,0)</x:f>
        <x:v>1019</x:v>
      </x:c>
      <x:c r="K17" s="70" t="n">
        <x:f>MIN($B$9,MAX($B$8,CEILING(J17,10)))</x:f>
        <x:v>1020</x:v>
      </x:c>
      <x:c r="L17" s="70" t="str">
        <x:f>IF(AND(K17&gt;=$B$8,K17&lt;=$B$9),"目标内","需复核")</x:f>
        <x:v>目标内</x:v>
      </x:c>
      <x:c r="M17" s="70" t="n">
        <x:f>K17-C17</x:f>
        <x:v>-2105</x:v>
      </x:c>
      <x:c r="N17" s="72" t="str">
        <x:v>=DISPIMG("ID_92DB779D60EA4B44AECD16A17CD00387",1)</x:v>
      </x:c>
      <x:c r="O17" s="58"/>
      <x:c r="P17" s="58"/>
      <x:c r="Q17" s="58"/>
      <x:c r="R17" s="58"/>
      <x:c r="S17" s="58"/>
      <x:c r="T17" s="58"/>
      <x:c r="U17" s="58"/>
      <x:c r="V17" s="58"/>
      <x:c r="W17" s="58"/>
      <x:c r="X17" s="58"/>
      <x:c r="Y17" s="58"/>
      <x:c r="Z17" s="58"/>
    </x:row>
    <x:row r="18">
      <x:c r="A18" s="68" t="str">
        <x:v>BB08</x:v>
      </x:c>
      <x:c r="B18" s="69" t="str">
        <x:v>S925 银彩宝耳钉</x:v>
      </x:c>
      <x:c r="C18" s="70" t="n">
        <x:v>2005</x:v>
      </x:c>
      <x:c r="D18" s="71" t="n">
        <x:v>230.575</x:v>
      </x:c>
      <x:c r="E18" s="70" t="n">
        <x:f>$B$4</x:f>
        <x:v>120</x:v>
      </x:c>
      <x:c r="F18" s="70" t="n">
        <x:f>$B$5</x:f>
        <x:v>30</x:v>
      </x:c>
      <x:c r="G18" s="70" t="n">
        <x:f>$B$6</x:f>
        <x:v>1</x:v>
      </x:c>
      <x:c r="H18" s="70" t="n">
        <x:f>ROUND(($D18+$E18+$F18)*(1+50%)*$G18,0)</x:f>
        <x:v>571</x:v>
      </x:c>
      <x:c r="I18" s="70" t="n">
        <x:f>ROUND(($D18+$E18+$F18)*(1+75%)*$G18,0)</x:f>
        <x:v>666</x:v>
      </x:c>
      <x:c r="J18" s="70" t="n">
        <x:f>ROUND(($D18+$E18+$F18)*(1+100%)*$G18,0)</x:f>
        <x:v>761</x:v>
      </x:c>
      <x:c r="K18" s="70" t="n">
        <x:f>MIN($B$9,MAX($B$8,CEILING(J18,10)))</x:f>
        <x:v>770</x:v>
      </x:c>
      <x:c r="L18" s="70" t="str">
        <x:f>IF(AND(K18&gt;=$B$8,K18&lt;=$B$9),"目标内","需复核")</x:f>
        <x:v>目标内</x:v>
      </x:c>
      <x:c r="M18" s="70" t="n">
        <x:f>K18-C18</x:f>
        <x:v>-1235</x:v>
      </x:c>
      <x:c r="N18" s="72" t="str">
        <x:v>=DISPIMG("ID_7045237F540F4A36812864EFFFFBBCD0",1)</x:v>
      </x:c>
      <x:c r="O18" s="58"/>
      <x:c r="P18" s="58"/>
      <x:c r="Q18" s="58"/>
      <x:c r="R18" s="58"/>
      <x:c r="S18" s="58"/>
      <x:c r="T18" s="58"/>
      <x:c r="U18" s="58"/>
      <x:c r="V18" s="58"/>
      <x:c r="W18" s="58"/>
      <x:c r="X18" s="58"/>
      <x:c r="Y18" s="58"/>
      <x:c r="Z18" s="58"/>
    </x:row>
    <x:row r="19">
      <x:c r="A19" s="68" t="str">
        <x:v>BB09</x:v>
      </x:c>
      <x:c r="B19" s="69" t="str">
        <x:v>925 银彩宝项链</x:v>
      </x:c>
      <x:c r="C19" s="70" t="n">
        <x:v>2110</x:v>
      </x:c>
      <x:c r="D19" s="71" t="n">
        <x:v>242.65</x:v>
      </x:c>
      <x:c r="E19" s="70" t="n">
        <x:f>$B$4</x:f>
        <x:v>120</x:v>
      </x:c>
      <x:c r="F19" s="70" t="n">
        <x:f>$B$5</x:f>
        <x:v>30</x:v>
      </x:c>
      <x:c r="G19" s="70" t="n">
        <x:f>$B$6</x:f>
        <x:v>1</x:v>
      </x:c>
      <x:c r="H19" s="70" t="n">
        <x:f>ROUND(($D19+$E19+$F19)*(1+50%)*$G19,0)</x:f>
        <x:v>589</x:v>
      </x:c>
      <x:c r="I19" s="70" t="n">
        <x:f>ROUND(($D19+$E19+$F19)*(1+75%)*$G19,0)</x:f>
        <x:v>687</x:v>
      </x:c>
      <x:c r="J19" s="70" t="n">
        <x:f>ROUND(($D19+$E19+$F19)*(1+100%)*$G19,0)</x:f>
        <x:v>785</x:v>
      </x:c>
      <x:c r="K19" s="70" t="n">
        <x:f>MIN($B$9,MAX($B$8,CEILING(J19,10)))</x:f>
        <x:v>790</x:v>
      </x:c>
      <x:c r="L19" s="70" t="str">
        <x:f>IF(AND(K19&gt;=$B$8,K19&lt;=$B$9),"目标内","需复核")</x:f>
        <x:v>目标内</x:v>
      </x:c>
      <x:c r="M19" s="70" t="n">
        <x:f>K19-C19</x:f>
        <x:v>-1320</x:v>
      </x:c>
      <x:c r="N19" s="72" t="str">
        <x:v>=DISPIMG("ID_9F49FDA29EDD42198E048398BCDA5FAE",1)</x:v>
      </x:c>
      <x:c r="O19" s="58"/>
      <x:c r="P19" s="58"/>
      <x:c r="Q19" s="58"/>
      <x:c r="R19" s="58"/>
      <x:c r="S19" s="58"/>
      <x:c r="T19" s="58"/>
      <x:c r="U19" s="58"/>
      <x:c r="V19" s="58"/>
      <x:c r="W19" s="58"/>
      <x:c r="X19" s="58"/>
      <x:c r="Y19" s="58"/>
      <x:c r="Z19" s="58"/>
    </x:row>
    <x:row r="20">
      <x:c r="A20" s="68" t="str">
        <x:v>BB10</x:v>
      </x:c>
      <x:c r="B20" s="69" t="str">
        <x:v>S925 银彩宝耳钉</x:v>
      </x:c>
      <x:c r="C20" s="70" t="n">
        <x:v>1310</x:v>
      </x:c>
      <x:c r="D20" s="71" t="n">
        <x:v>150.65</x:v>
      </x:c>
      <x:c r="E20" s="70" t="n">
        <x:f>$B$4</x:f>
        <x:v>120</x:v>
      </x:c>
      <x:c r="F20" s="70" t="n">
        <x:f>$B$5</x:f>
        <x:v>30</x:v>
      </x:c>
      <x:c r="G20" s="70" t="n">
        <x:f>$B$6</x:f>
        <x:v>1</x:v>
      </x:c>
      <x:c r="H20" s="70" t="n">
        <x:f>ROUND(($D20+$E20+$F20)*(1+50%)*$G20,0)</x:f>
        <x:v>451</x:v>
      </x:c>
      <x:c r="I20" s="70" t="n">
        <x:f>ROUND(($D20+$E20+$F20)*(1+75%)*$G20,0)</x:f>
        <x:v>526</x:v>
      </x:c>
      <x:c r="J20" s="70" t="n">
        <x:f>ROUND(($D20+$E20+$F20)*(1+100%)*$G20,0)</x:f>
        <x:v>601</x:v>
      </x:c>
      <x:c r="K20" s="70" t="n">
        <x:f>MIN($B$9,MAX($B$8,CEILING(J20,10)))</x:f>
        <x:v>610</x:v>
      </x:c>
      <x:c r="L20" s="70" t="str">
        <x:f>IF(AND(K20&gt;=$B$8,K20&lt;=$B$9),"目标内","需复核")</x:f>
        <x:v>目标内</x:v>
      </x:c>
      <x:c r="M20" s="70" t="n">
        <x:f>K20-C20</x:f>
        <x:v>-700</x:v>
      </x:c>
      <x:c r="N20" s="72" t="str">
        <x:v>=DISPIMG("ID_06C09409870D49DDA1DD2611E9D0D000",1)</x:v>
      </x:c>
      <x:c r="O20" s="58"/>
      <x:c r="P20" s="58"/>
      <x:c r="Q20" s="58"/>
      <x:c r="R20" s="58"/>
      <x:c r="S20" s="58"/>
      <x:c r="T20" s="58"/>
      <x:c r="U20" s="58"/>
      <x:c r="V20" s="58"/>
      <x:c r="W20" s="58"/>
      <x:c r="X20" s="58"/>
      <x:c r="Y20" s="58"/>
      <x:c r="Z20" s="58"/>
    </x:row>
    <x:row r="21">
      <x:c r="A21" s="68" t="str">
        <x:v>BB11</x:v>
      </x:c>
      <x:c r="B21" s="69" t="str">
        <x:v>S925 银彩宝耳钉</x:v>
      </x:c>
      <x:c r="C21" s="70" t="n">
        <x:v>2365</x:v>
      </x:c>
      <x:c r="D21" s="71" t="n">
        <x:v>271.975</x:v>
      </x:c>
      <x:c r="E21" s="70" t="n">
        <x:f>$B$4</x:f>
        <x:v>120</x:v>
      </x:c>
      <x:c r="F21" s="70" t="n">
        <x:f>$B$5</x:f>
        <x:v>30</x:v>
      </x:c>
      <x:c r="G21" s="70" t="n">
        <x:f>$B$6</x:f>
        <x:v>1</x:v>
      </x:c>
      <x:c r="H21" s="70" t="n">
        <x:f>ROUND(($D21+$E21+$F21)*(1+50%)*$G21,0)</x:f>
        <x:v>633</x:v>
      </x:c>
      <x:c r="I21" s="70" t="n">
        <x:f>ROUND(($D21+$E21+$F21)*(1+75%)*$G21,0)</x:f>
        <x:v>738</x:v>
      </x:c>
      <x:c r="J21" s="70" t="n">
        <x:f>ROUND(($D21+$E21+$F21)*(1+100%)*$G21,0)</x:f>
        <x:v>844</x:v>
      </x:c>
      <x:c r="K21" s="70" t="n">
        <x:f>MIN($B$9,MAX($B$8,CEILING(J21,10)))</x:f>
        <x:v>850</x:v>
      </x:c>
      <x:c r="L21" s="70" t="str">
        <x:f>IF(AND(K21&gt;=$B$8,K21&lt;=$B$9),"目标内","需复核")</x:f>
        <x:v>目标内</x:v>
      </x:c>
      <x:c r="M21" s="70" t="n">
        <x:f>K21-C21</x:f>
        <x:v>-1515</x:v>
      </x:c>
      <x:c r="N21" s="72" t="str">
        <x:v>=DISPIMG("ID_7FD4A5B810AE425A94D912056297CCB4",1)</x:v>
      </x:c>
      <x:c r="O21" s="58"/>
      <x:c r="P21" s="58"/>
      <x:c r="Q21" s="58"/>
      <x:c r="R21" s="58"/>
      <x:c r="S21" s="58"/>
      <x:c r="T21" s="58"/>
      <x:c r="U21" s="58"/>
      <x:c r="V21" s="58"/>
      <x:c r="W21" s="58"/>
      <x:c r="X21" s="58"/>
      <x:c r="Y21" s="58"/>
      <x:c r="Z21" s="58"/>
    </x:row>
    <x:row r="22">
      <x:c r="A22" s="68" t="str">
        <x:v>BB12</x:v>
      </x:c>
      <x:c r="B22" s="69"/>
      <x:c r="C22" s="70" t="n">
        <x:v>1790</x:v>
      </x:c>
      <x:c r="D22" s="71" t="n">
        <x:v>205.85</x:v>
      </x:c>
      <x:c r="E22" s="70" t="n">
        <x:f>$B$4</x:f>
        <x:v>120</x:v>
      </x:c>
      <x:c r="F22" s="70" t="n">
        <x:f>$B$5</x:f>
        <x:v>30</x:v>
      </x:c>
      <x:c r="G22" s="70" t="n">
        <x:f>$B$6</x:f>
        <x:v>1</x:v>
      </x:c>
      <x:c r="H22" s="70" t="n">
        <x:f>ROUND(($D22+$E22+$F22)*(1+50%)*$G22,0)</x:f>
        <x:v>534</x:v>
      </x:c>
      <x:c r="I22" s="70" t="n">
        <x:f>ROUND(($D22+$E22+$F22)*(1+75%)*$G22,0)</x:f>
        <x:v>623</x:v>
      </x:c>
      <x:c r="J22" s="70" t="n">
        <x:f>ROUND(($D22+$E22+$F22)*(1+100%)*$G22,0)</x:f>
        <x:v>712</x:v>
      </x:c>
      <x:c r="K22" s="70" t="n">
        <x:f>MIN($B$9,MAX($B$8,CEILING(J22,10)))</x:f>
        <x:v>720</x:v>
      </x:c>
      <x:c r="L22" s="70" t="str">
        <x:f>IF(AND(K22&gt;=$B$8,K22&lt;=$B$9),"目标内","需复核")</x:f>
        <x:v>目标内</x:v>
      </x:c>
      <x:c r="M22" s="70" t="n">
        <x:f>K22-C22</x:f>
        <x:v>-1070</x:v>
      </x:c>
      <x:c r="N22" s="72" t="str">
        <x:v>=DISPIMG("ID_4727563B1C3F4E1BAF50BEB4C0D9438C",1)</x:v>
      </x:c>
      <x:c r="O22" s="58"/>
      <x:c r="P22" s="58"/>
      <x:c r="Q22" s="58"/>
      <x:c r="R22" s="58"/>
      <x:c r="S22" s="58"/>
      <x:c r="T22" s="58"/>
      <x:c r="U22" s="58"/>
      <x:c r="V22" s="58"/>
      <x:c r="W22" s="58"/>
      <x:c r="X22" s="58"/>
      <x:c r="Y22" s="58"/>
      <x:c r="Z22" s="58"/>
    </x:row>
    <x:row r="23">
      <x:c r="A23" s="68" t="str">
        <x:v>BB13</x:v>
      </x:c>
      <x:c r="B23" s="69"/>
      <x:c r="C23" s="70" t="n">
        <x:v>1780</x:v>
      </x:c>
      <x:c r="D23" s="71" t="n">
        <x:v>204.7</x:v>
      </x:c>
      <x:c r="E23" s="70" t="n">
        <x:f>$B$4</x:f>
        <x:v>120</x:v>
      </x:c>
      <x:c r="F23" s="70" t="n">
        <x:f>$B$5</x:f>
        <x:v>30</x:v>
      </x:c>
      <x:c r="G23" s="70" t="n">
        <x:f>$B$6</x:f>
        <x:v>1</x:v>
      </x:c>
      <x:c r="H23" s="70" t="n">
        <x:f>ROUND(($D23+$E23+$F23)*(1+50%)*$G23,0)</x:f>
        <x:v>532</x:v>
      </x:c>
      <x:c r="I23" s="70" t="n">
        <x:f>ROUND(($D23+$E23+$F23)*(1+75%)*$G23,0)</x:f>
        <x:v>621</x:v>
      </x:c>
      <x:c r="J23" s="70" t="n">
        <x:f>ROUND(($D23+$E23+$F23)*(1+100%)*$G23,0)</x:f>
        <x:v>709</x:v>
      </x:c>
      <x:c r="K23" s="70" t="n">
        <x:f>MIN($B$9,MAX($B$8,CEILING(J23,10)))</x:f>
        <x:v>710</x:v>
      </x:c>
      <x:c r="L23" s="70" t="str">
        <x:f>IF(AND(K23&gt;=$B$8,K23&lt;=$B$9),"目标内","需复核")</x:f>
        <x:v>目标内</x:v>
      </x:c>
      <x:c r="M23" s="70" t="n">
        <x:f>K23-C23</x:f>
        <x:v>-1070</x:v>
      </x:c>
      <x:c r="N23" s="72" t="str">
        <x:v>=DISPIMG("ID_A627AC588C8648238379F1675ECEBC3D",1)</x:v>
      </x:c>
      <x:c r="O23" s="58"/>
      <x:c r="P23" s="58"/>
      <x:c r="Q23" s="58"/>
      <x:c r="R23" s="58"/>
      <x:c r="S23" s="58"/>
      <x:c r="T23" s="58"/>
      <x:c r="U23" s="58"/>
      <x:c r="V23" s="58"/>
      <x:c r="W23" s="58"/>
      <x:c r="X23" s="58"/>
      <x:c r="Y23" s="58"/>
      <x:c r="Z23" s="58"/>
    </x:row>
    <x:row r="24">
      <x:c r="A24" s="68" t="str">
        <x:v>BB14</x:v>
      </x:c>
      <x:c r="B24" s="69"/>
      <x:c r="C24" s="70" t="n">
        <x:v>1615</x:v>
      </x:c>
      <x:c r="D24" s="71" t="n">
        <x:v>185.725</x:v>
      </x:c>
      <x:c r="E24" s="70" t="n">
        <x:f>$B$4</x:f>
        <x:v>120</x:v>
      </x:c>
      <x:c r="F24" s="70" t="n">
        <x:f>$B$5</x:f>
        <x:v>30</x:v>
      </x:c>
      <x:c r="G24" s="70" t="n">
        <x:f>$B$6</x:f>
        <x:v>1</x:v>
      </x:c>
      <x:c r="H24" s="70" t="n">
        <x:f>ROUND(($D24+$E24+$F24)*(1+50%)*$G24,0)</x:f>
        <x:v>504</x:v>
      </x:c>
      <x:c r="I24" s="70" t="n">
        <x:f>ROUND(($D24+$E24+$F24)*(1+75%)*$G24,0)</x:f>
        <x:v>588</x:v>
      </x:c>
      <x:c r="J24" s="70" t="n">
        <x:f>ROUND(($D24+$E24+$F24)*(1+100%)*$G24,0)</x:f>
        <x:v>671</x:v>
      </x:c>
      <x:c r="K24" s="70" t="n">
        <x:f>MIN($B$9,MAX($B$8,CEILING(J24,10)))</x:f>
        <x:v>680</x:v>
      </x:c>
      <x:c r="L24" s="70" t="str">
        <x:f>IF(AND(K24&gt;=$B$8,K24&lt;=$B$9),"目标内","需复核")</x:f>
        <x:v>目标内</x:v>
      </x:c>
      <x:c r="M24" s="70" t="n">
        <x:f>K24-C24</x:f>
        <x:v>-935</x:v>
      </x:c>
      <x:c r="N24" s="72" t="str">
        <x:v>=DISPIMG("ID_1E927E8606EC41C8989CA74FAC1E5D62",1)</x:v>
      </x:c>
      <x:c r="O24" s="58"/>
      <x:c r="P24" s="58"/>
      <x:c r="Q24" s="58"/>
      <x:c r="R24" s="58"/>
      <x:c r="S24" s="58"/>
      <x:c r="T24" s="58"/>
      <x:c r="U24" s="58"/>
      <x:c r="V24" s="58"/>
      <x:c r="W24" s="58"/>
      <x:c r="X24" s="58"/>
      <x:c r="Y24" s="58"/>
      <x:c r="Z24" s="58"/>
    </x:row>
    <x:row r="25">
      <x:c r="A25" s="68" t="str">
        <x:v>BB15</x:v>
      </x:c>
      <x:c r="B25" s="69"/>
      <x:c r="C25" s="70" t="n">
        <x:v>2070</x:v>
      </x:c>
      <x:c r="D25" s="71" t="n">
        <x:v>238.05</x:v>
      </x:c>
      <x:c r="E25" s="70" t="n">
        <x:f>$B$4</x:f>
        <x:v>120</x:v>
      </x:c>
      <x:c r="F25" s="70" t="n">
        <x:f>$B$5</x:f>
        <x:v>30</x:v>
      </x:c>
      <x:c r="G25" s="70" t="n">
        <x:f>$B$6</x:f>
        <x:v>1</x:v>
      </x:c>
      <x:c r="H25" s="70" t="n">
        <x:f>ROUND(($D25+$E25+$F25)*(1+50%)*$G25,0)</x:f>
        <x:v>582</x:v>
      </x:c>
      <x:c r="I25" s="70" t="n">
        <x:f>ROUND(($D25+$E25+$F25)*(1+75%)*$G25,0)</x:f>
        <x:v>679</x:v>
      </x:c>
      <x:c r="J25" s="70" t="n">
        <x:f>ROUND(($D25+$E25+$F25)*(1+100%)*$G25,0)</x:f>
        <x:v>776</x:v>
      </x:c>
      <x:c r="K25" s="70" t="n">
        <x:f>MIN($B$9,MAX($B$8,CEILING(J25,10)))</x:f>
        <x:v>780</x:v>
      </x:c>
      <x:c r="L25" s="70" t="str">
        <x:f>IF(AND(K25&gt;=$B$8,K25&lt;=$B$9),"目标内","需复核")</x:f>
        <x:v>目标内</x:v>
      </x:c>
      <x:c r="M25" s="70" t="n">
        <x:f>K25-C25</x:f>
        <x:v>-1290</x:v>
      </x:c>
      <x:c r="N25" s="72" t="str">
        <x:v>=DISPIMG("ID_EB83ADC05A5242D994BC32F5696D8D05",1)</x:v>
      </x:c>
      <x:c r="O25" s="58"/>
      <x:c r="P25" s="58"/>
      <x:c r="Q25" s="58"/>
      <x:c r="R25" s="58"/>
      <x:c r="S25" s="58"/>
      <x:c r="T25" s="58"/>
      <x:c r="U25" s="58"/>
      <x:c r="V25" s="58"/>
      <x:c r="W25" s="58"/>
      <x:c r="X25" s="58"/>
      <x:c r="Y25" s="58"/>
      <x:c r="Z25" s="58"/>
    </x:row>
    <x:row r="26">
      <x:c r="A26" s="68" t="str">
        <x:v>BB16</x:v>
      </x:c>
      <x:c r="B26" s="69"/>
      <x:c r="C26" s="70" t="n">
        <x:v>2500</x:v>
      </x:c>
      <x:c r="D26" s="71" t="n">
        <x:v>287.5</x:v>
      </x:c>
      <x:c r="E26" s="70" t="n">
        <x:f>$B$4</x:f>
        <x:v>120</x:v>
      </x:c>
      <x:c r="F26" s="70" t="n">
        <x:f>$B$5</x:f>
        <x:v>30</x:v>
      </x:c>
      <x:c r="G26" s="70" t="n">
        <x:f>$B$6</x:f>
        <x:v>1</x:v>
      </x:c>
      <x:c r="H26" s="70" t="n">
        <x:f>ROUND(($D26+$E26+$F26)*(1+50%)*$G26,0)</x:f>
        <x:v>656</x:v>
      </x:c>
      <x:c r="I26" s="70" t="n">
        <x:f>ROUND(($D26+$E26+$F26)*(1+75%)*$G26,0)</x:f>
        <x:v>766</x:v>
      </x:c>
      <x:c r="J26" s="70" t="n">
        <x:f>ROUND(($D26+$E26+$F26)*(1+100%)*$G26,0)</x:f>
        <x:v>875</x:v>
      </x:c>
      <x:c r="K26" s="70" t="n">
        <x:f>MIN($B$9,MAX($B$8,CEILING(J26,10)))</x:f>
        <x:v>880</x:v>
      </x:c>
      <x:c r="L26" s="70" t="str">
        <x:f>IF(AND(K26&gt;=$B$8,K26&lt;=$B$9),"目标内","需复核")</x:f>
        <x:v>目标内</x:v>
      </x:c>
      <x:c r="M26" s="70" t="n">
        <x:f>K26-C26</x:f>
        <x:v>-1620</x:v>
      </x:c>
      <x:c r="N26" s="72" t="str">
        <x:v>=DISPIMG("ID_692718DED7CD4E088FECB81AEEA3DBB2",1)</x:v>
      </x:c>
      <x:c r="O26" s="58"/>
      <x:c r="P26" s="58"/>
      <x:c r="Q26" s="58"/>
      <x:c r="R26" s="58"/>
      <x:c r="S26" s="58"/>
      <x:c r="T26" s="58"/>
      <x:c r="U26" s="58"/>
      <x:c r="V26" s="58"/>
      <x:c r="W26" s="58"/>
      <x:c r="X26" s="58"/>
      <x:c r="Y26" s="58"/>
      <x:c r="Z26" s="58"/>
    </x:row>
    <x:row r="27">
      <x:c r="A27" s="68" t="str">
        <x:v>BB17</x:v>
      </x:c>
      <x:c r="B27" s="69" t="str">
        <x:v>S925 银彩宝耳钉</x:v>
      </x:c>
      <x:c r="C27" s="70" t="n">
        <x:v>1255</x:v>
      </x:c>
      <x:c r="D27" s="71" t="n">
        <x:v>144.325</x:v>
      </x:c>
      <x:c r="E27" s="70" t="n">
        <x:f>$B$4</x:f>
        <x:v>120</x:v>
      </x:c>
      <x:c r="F27" s="70" t="n">
        <x:f>$B$5</x:f>
        <x:v>30</x:v>
      </x:c>
      <x:c r="G27" s="70" t="n">
        <x:f>$B$6</x:f>
        <x:v>1</x:v>
      </x:c>
      <x:c r="H27" s="70" t="n">
        <x:f>ROUND(($D27+$E27+$F27)*(1+50%)*$G27,0)</x:f>
        <x:v>441</x:v>
      </x:c>
      <x:c r="I27" s="70" t="n">
        <x:f>ROUND(($D27+$E27+$F27)*(1+75%)*$G27,0)</x:f>
        <x:v>515</x:v>
      </x:c>
      <x:c r="J27" s="70" t="n">
        <x:f>ROUND(($D27+$E27+$F27)*(1+100%)*$G27,0)</x:f>
        <x:v>589</x:v>
      </x:c>
      <x:c r="K27" s="70" t="n">
        <x:f>MIN($B$9,MAX($B$8,CEILING(J27,10)))</x:f>
        <x:v>600</x:v>
      </x:c>
      <x:c r="L27" s="70" t="str">
        <x:f>IF(AND(K27&gt;=$B$8,K27&lt;=$B$9),"目标内","需复核")</x:f>
        <x:v>目标内</x:v>
      </x:c>
      <x:c r="M27" s="70" t="n">
        <x:f>K27-C27</x:f>
        <x:v>-655</x:v>
      </x:c>
      <x:c r="N27" s="72" t="str">
        <x:v>=DISPIMG("ID_8F045651D67640D691219E71144D0CFF",1)</x:v>
      </x:c>
      <x:c r="O27" s="58"/>
      <x:c r="P27" s="58"/>
      <x:c r="Q27" s="58"/>
      <x:c r="R27" s="58"/>
      <x:c r="S27" s="58"/>
      <x:c r="T27" s="58"/>
      <x:c r="U27" s="58"/>
      <x:c r="V27" s="58"/>
      <x:c r="W27" s="58"/>
      <x:c r="X27" s="58"/>
      <x:c r="Y27" s="58"/>
      <x:c r="Z27" s="58"/>
    </x:row>
    <x:row r="28">
      <x:c r="A28" s="68" t="str">
        <x:v>BB18</x:v>
      </x:c>
      <x:c r="B28" s="69" t="str">
        <x:v>S925 银彩宝耳钉</x:v>
      </x:c>
      <x:c r="C28" s="70" t="n">
        <x:v>1620</x:v>
      </x:c>
      <x:c r="D28" s="71" t="n">
        <x:v>186.3</x:v>
      </x:c>
      <x:c r="E28" s="70" t="n">
        <x:f>$B$4</x:f>
        <x:v>120</x:v>
      </x:c>
      <x:c r="F28" s="70" t="n">
        <x:f>$B$5</x:f>
        <x:v>30</x:v>
      </x:c>
      <x:c r="G28" s="70" t="n">
        <x:f>$B$6</x:f>
        <x:v>1</x:v>
      </x:c>
      <x:c r="H28" s="70" t="n">
        <x:f>ROUND(($D28+$E28+$F28)*(1+50%)*$G28,0)</x:f>
        <x:v>504</x:v>
      </x:c>
      <x:c r="I28" s="70" t="n">
        <x:f>ROUND(($D28+$E28+$F28)*(1+75%)*$G28,0)</x:f>
        <x:v>589</x:v>
      </x:c>
      <x:c r="J28" s="70" t="n">
        <x:f>ROUND(($D28+$E28+$F28)*(1+100%)*$G28,0)</x:f>
        <x:v>673</x:v>
      </x:c>
      <x:c r="K28" s="70" t="n">
        <x:f>MIN($B$9,MAX($B$8,CEILING(J28,10)))</x:f>
        <x:v>680</x:v>
      </x:c>
      <x:c r="L28" s="70" t="str">
        <x:f>IF(AND(K28&gt;=$B$8,K28&lt;=$B$9),"目标内","需复核")</x:f>
        <x:v>目标内</x:v>
      </x:c>
      <x:c r="M28" s="70" t="n">
        <x:f>K28-C28</x:f>
        <x:v>-940</x:v>
      </x:c>
      <x:c r="N28" s="72" t="str">
        <x:v>=DISPIMG("ID_02B859D04F344FD2A4D07A07AC18382C",1)</x:v>
      </x:c>
      <x:c r="O28" s="58"/>
      <x:c r="P28" s="58"/>
      <x:c r="Q28" s="58"/>
      <x:c r="R28" s="58"/>
      <x:c r="S28" s="58"/>
      <x:c r="T28" s="58"/>
      <x:c r="U28" s="58"/>
      <x:c r="V28" s="58"/>
      <x:c r="W28" s="58"/>
      <x:c r="X28" s="58"/>
      <x:c r="Y28" s="58"/>
      <x:c r="Z28" s="58"/>
    </x:row>
    <x:row r="29">
      <x:c r="A29" s="68" t="str">
        <x:v>BB19</x:v>
      </x:c>
      <x:c r="B29" s="69" t="str">
        <x:v>925 银彩宝项链</x:v>
      </x:c>
      <x:c r="C29" s="70" t="n">
        <x:v>1155</x:v>
      </x:c>
      <x:c r="D29" s="71" t="n">
        <x:v>132.825</x:v>
      </x:c>
      <x:c r="E29" s="70" t="n">
        <x:f>$B$4</x:f>
        <x:v>120</x:v>
      </x:c>
      <x:c r="F29" s="70" t="n">
        <x:f>$B$5</x:f>
        <x:v>30</x:v>
      </x:c>
      <x:c r="G29" s="70" t="n">
        <x:f>$B$6</x:f>
        <x:v>1</x:v>
      </x:c>
      <x:c r="H29" s="70" t="n">
        <x:f>ROUND(($D29+$E29+$F29)*(1+50%)*$G29,0)</x:f>
        <x:v>424</x:v>
      </x:c>
      <x:c r="I29" s="70" t="n">
        <x:f>ROUND(($D29+$E29+$F29)*(1+75%)*$G29,0)</x:f>
        <x:v>495</x:v>
      </x:c>
      <x:c r="J29" s="70" t="n">
        <x:f>ROUND(($D29+$E29+$F29)*(1+100%)*$G29,0)</x:f>
        <x:v>566</x:v>
      </x:c>
      <x:c r="K29" s="70" t="n">
        <x:f>MIN($B$9,MAX($B$8,CEILING(J29,10)))</x:f>
        <x:v>600</x:v>
      </x:c>
      <x:c r="L29" s="70" t="str">
        <x:f>IF(AND(K29&gt;=$B$8,K29&lt;=$B$9),"目标内","需复核")</x:f>
        <x:v>目标内</x:v>
      </x:c>
      <x:c r="M29" s="70" t="n">
        <x:f>K29-C29</x:f>
        <x:v>-555</x:v>
      </x:c>
      <x:c r="N29" s="72" t="str">
        <x:v>=DISPIMG("ID_22BFBE025CFF4E9D993472D3D9F7D2CD",1)</x:v>
      </x:c>
      <x:c r="O29" s="58"/>
      <x:c r="P29" s="58"/>
      <x:c r="Q29" s="58"/>
      <x:c r="R29" s="58"/>
      <x:c r="S29" s="58"/>
      <x:c r="T29" s="58"/>
      <x:c r="U29" s="58"/>
      <x:c r="V29" s="58"/>
      <x:c r="W29" s="58"/>
      <x:c r="X29" s="58"/>
      <x:c r="Y29" s="58"/>
      <x:c r="Z29" s="58"/>
    </x:row>
    <x:row r="30">
      <x:c r="A30" s="68" t="str">
        <x:v>BB20</x:v>
      </x:c>
      <x:c r="B30" s="69" t="str">
        <x:v>925 银彩宝项链</x:v>
      </x:c>
      <x:c r="C30" s="70" t="n">
        <x:v>1980</x:v>
      </x:c>
      <x:c r="D30" s="71" t="n">
        <x:v>227.7</x:v>
      </x:c>
      <x:c r="E30" s="70" t="n">
        <x:f>$B$4</x:f>
        <x:v>120</x:v>
      </x:c>
      <x:c r="F30" s="70" t="n">
        <x:f>$B$5</x:f>
        <x:v>30</x:v>
      </x:c>
      <x:c r="G30" s="70" t="n">
        <x:f>$B$6</x:f>
        <x:v>1</x:v>
      </x:c>
      <x:c r="H30" s="70" t="n">
        <x:f>ROUND(($D30+$E30+$F30)*(1+50%)*$G30,0)</x:f>
        <x:v>567</x:v>
      </x:c>
      <x:c r="I30" s="70" t="n">
        <x:f>ROUND(($D30+$E30+$F30)*(1+75%)*$G30,0)</x:f>
        <x:v>661</x:v>
      </x:c>
      <x:c r="J30" s="70" t="n">
        <x:f>ROUND(($D30+$E30+$F30)*(1+100%)*$G30,0)</x:f>
        <x:v>755</x:v>
      </x:c>
      <x:c r="K30" s="70" t="n">
        <x:f>MIN($B$9,MAX($B$8,CEILING(J30,10)))</x:f>
        <x:v>760</x:v>
      </x:c>
      <x:c r="L30" s="70" t="str">
        <x:f>IF(AND(K30&gt;=$B$8,K30&lt;=$B$9),"目标内","需复核")</x:f>
        <x:v>目标内</x:v>
      </x:c>
      <x:c r="M30" s="70" t="n">
        <x:f>K30-C30</x:f>
        <x:v>-1220</x:v>
      </x:c>
      <x:c r="N30" s="72" t="str">
        <x:v>=DISPIMG("ID_E3AD1A70CF6D400AB725709628014957",1)</x:v>
      </x:c>
      <x:c r="O30" s="58"/>
      <x:c r="P30" s="58"/>
      <x:c r="Q30" s="58"/>
      <x:c r="R30" s="58"/>
      <x:c r="S30" s="58"/>
      <x:c r="T30" s="58"/>
      <x:c r="U30" s="58"/>
      <x:c r="V30" s="58"/>
      <x:c r="W30" s="58"/>
      <x:c r="X30" s="58"/>
      <x:c r="Y30" s="58"/>
      <x:c r="Z30" s="58"/>
    </x:row>
    <x:row r="31">
      <x:c r="A31" s="68" t="str">
        <x:v>BB21</x:v>
      </x:c>
      <x:c r="B31" s="69" t="str">
        <x:v>S925 银彩宝耳钉</x:v>
      </x:c>
      <x:c r="C31" s="70" t="n">
        <x:v>1865</x:v>
      </x:c>
      <x:c r="D31" s="71" t="n">
        <x:v>214.475</x:v>
      </x:c>
      <x:c r="E31" s="70" t="n">
        <x:f>$B$4</x:f>
        <x:v>120</x:v>
      </x:c>
      <x:c r="F31" s="70" t="n">
        <x:f>$B$5</x:f>
        <x:v>30</x:v>
      </x:c>
      <x:c r="G31" s="70" t="n">
        <x:f>$B$6</x:f>
        <x:v>1</x:v>
      </x:c>
      <x:c r="H31" s="70" t="n">
        <x:f>ROUND(($D31+$E31+$F31)*(1+50%)*$G31,0)</x:f>
        <x:v>547</x:v>
      </x:c>
      <x:c r="I31" s="70" t="n">
        <x:f>ROUND(($D31+$E31+$F31)*(1+75%)*$G31,0)</x:f>
        <x:v>638</x:v>
      </x:c>
      <x:c r="J31" s="70" t="n">
        <x:f>ROUND(($D31+$E31+$F31)*(1+100%)*$G31,0)</x:f>
        <x:v>729</x:v>
      </x:c>
      <x:c r="K31" s="70" t="n">
        <x:f>MIN($B$9,MAX($B$8,CEILING(J31,10)))</x:f>
        <x:v>730</x:v>
      </x:c>
      <x:c r="L31" s="70" t="str">
        <x:f>IF(AND(K31&gt;=$B$8,K31&lt;=$B$9),"目标内","需复核")</x:f>
        <x:v>目标内</x:v>
      </x:c>
      <x:c r="M31" s="70" t="n">
        <x:f>K31-C31</x:f>
        <x:v>-1135</x:v>
      </x:c>
      <x:c r="N31" s="72" t="str">
        <x:v>=DISPIMG("ID_279ACF7486324499B3B0FF2E2DDB2FE5",1)</x:v>
      </x:c>
      <x:c r="O31" s="58"/>
      <x:c r="P31" s="58"/>
      <x:c r="Q31" s="58"/>
      <x:c r="R31" s="58"/>
      <x:c r="S31" s="58"/>
      <x:c r="T31" s="58"/>
      <x:c r="U31" s="58"/>
      <x:c r="V31" s="58"/>
      <x:c r="W31" s="58"/>
      <x:c r="X31" s="58"/>
      <x:c r="Y31" s="58"/>
      <x:c r="Z31" s="58"/>
    </x:row>
    <x:row r="32">
      <x:c r="A32" s="68" t="str">
        <x:v>BB22</x:v>
      </x:c>
      <x:c r="B32" s="69" t="str">
        <x:v>925 银彩宝项链</x:v>
      </x:c>
      <x:c r="C32" s="70" t="n">
        <x:v>1300</x:v>
      </x:c>
      <x:c r="D32" s="71" t="n">
        <x:v>149.5</x:v>
      </x:c>
      <x:c r="E32" s="70" t="n">
        <x:f>$B$4</x:f>
        <x:v>120</x:v>
      </x:c>
      <x:c r="F32" s="70" t="n">
        <x:f>$B$5</x:f>
        <x:v>30</x:v>
      </x:c>
      <x:c r="G32" s="70" t="n">
        <x:f>$B$6</x:f>
        <x:v>1</x:v>
      </x:c>
      <x:c r="H32" s="70" t="n">
        <x:f>ROUND(($D32+$E32+$F32)*(1+50%)*$G32,0)</x:f>
        <x:v>449</x:v>
      </x:c>
      <x:c r="I32" s="70" t="n">
        <x:f>ROUND(($D32+$E32+$F32)*(1+75%)*$G32,0)</x:f>
        <x:v>524</x:v>
      </x:c>
      <x:c r="J32" s="70" t="n">
        <x:f>ROUND(($D32+$E32+$F32)*(1+100%)*$G32,0)</x:f>
        <x:v>599</x:v>
      </x:c>
      <x:c r="K32" s="70" t="n">
        <x:f>MIN($B$9,MAX($B$8,CEILING(J32,10)))</x:f>
        <x:v>600</x:v>
      </x:c>
      <x:c r="L32" s="70" t="str">
        <x:f>IF(AND(K32&gt;=$B$8,K32&lt;=$B$9),"目标内","需复核")</x:f>
        <x:v>目标内</x:v>
      </x:c>
      <x:c r="M32" s="70" t="n">
        <x:f>K32-C32</x:f>
        <x:v>-700</x:v>
      </x:c>
      <x:c r="N32" s="72" t="str">
        <x:v>=DISPIMG("ID_E957F103F5CF468597027DEEE5EEB1EB",1)</x:v>
      </x:c>
      <x:c r="O32" s="58"/>
      <x:c r="P32" s="58"/>
      <x:c r="Q32" s="58"/>
      <x:c r="R32" s="58"/>
      <x:c r="S32" s="58"/>
      <x:c r="T32" s="58"/>
      <x:c r="U32" s="58"/>
      <x:c r="V32" s="58"/>
      <x:c r="W32" s="58"/>
      <x:c r="X32" s="58"/>
      <x:c r="Y32" s="58"/>
      <x:c r="Z32" s="58"/>
    </x:row>
    <x:row r="33">
      <x:c r="A33" s="68" t="str">
        <x:v>BB23</x:v>
      </x:c>
      <x:c r="B33" s="69" t="str">
        <x:v>S925 银彩宝耳钉</x:v>
      </x:c>
      <x:c r="C33" s="70" t="n">
        <x:v>1900</x:v>
      </x:c>
      <x:c r="D33" s="71" t="n">
        <x:v>218.5</x:v>
      </x:c>
      <x:c r="E33" s="70" t="n">
        <x:f>$B$4</x:f>
        <x:v>120</x:v>
      </x:c>
      <x:c r="F33" s="70" t="n">
        <x:f>$B$5</x:f>
        <x:v>30</x:v>
      </x:c>
      <x:c r="G33" s="70" t="n">
        <x:f>$B$6</x:f>
        <x:v>1</x:v>
      </x:c>
      <x:c r="H33" s="70" t="n">
        <x:f>ROUND(($D33+$E33+$F33)*(1+50%)*$G33,0)</x:f>
        <x:v>553</x:v>
      </x:c>
      <x:c r="I33" s="70" t="n">
        <x:f>ROUND(($D33+$E33+$F33)*(1+75%)*$G33,0)</x:f>
        <x:v>645</x:v>
      </x:c>
      <x:c r="J33" s="70" t="n">
        <x:f>ROUND(($D33+$E33+$F33)*(1+100%)*$G33,0)</x:f>
        <x:v>737</x:v>
      </x:c>
      <x:c r="K33" s="70" t="n">
        <x:f>MIN($B$9,MAX($B$8,CEILING(J33,10)))</x:f>
        <x:v>740</x:v>
      </x:c>
      <x:c r="L33" s="70" t="str">
        <x:f>IF(AND(K33&gt;=$B$8,K33&lt;=$B$9),"目标内","需复核")</x:f>
        <x:v>目标内</x:v>
      </x:c>
      <x:c r="M33" s="70" t="n">
        <x:f>K33-C33</x:f>
        <x:v>-1160</x:v>
      </x:c>
      <x:c r="N33" s="72" t="str">
        <x:v>=DISPIMG("ID_7890DAD97B0C45F4950DD51AF8CB0E9E",1)</x:v>
      </x:c>
      <x:c r="O33" s="58"/>
      <x:c r="P33" s="58"/>
      <x:c r="Q33" s="58"/>
      <x:c r="R33" s="58"/>
      <x:c r="S33" s="58"/>
      <x:c r="T33" s="58"/>
      <x:c r="U33" s="58"/>
      <x:c r="V33" s="58"/>
      <x:c r="W33" s="58"/>
      <x:c r="X33" s="58"/>
      <x:c r="Y33" s="58"/>
      <x:c r="Z33" s="58"/>
    </x:row>
    <x:row r="34">
      <x:c r="A34" s="68" t="str">
        <x:v>BB24</x:v>
      </x:c>
      <x:c r="B34" s="69" t="str">
        <x:v>925 银彩宝项链</x:v>
      </x:c>
      <x:c r="C34" s="70" t="n">
        <x:v>1915</x:v>
      </x:c>
      <x:c r="D34" s="71" t="n">
        <x:v>220.225</x:v>
      </x:c>
      <x:c r="E34" s="70" t="n">
        <x:f>$B$4</x:f>
        <x:v>120</x:v>
      </x:c>
      <x:c r="F34" s="70" t="n">
        <x:f>$B$5</x:f>
        <x:v>30</x:v>
      </x:c>
      <x:c r="G34" s="70" t="n">
        <x:f>$B$6</x:f>
        <x:v>1</x:v>
      </x:c>
      <x:c r="H34" s="70" t="n">
        <x:f>ROUND(($D34+$E34+$F34)*(1+50%)*$G34,0)</x:f>
        <x:v>555</x:v>
      </x:c>
      <x:c r="I34" s="70" t="n">
        <x:f>ROUND(($D34+$E34+$F34)*(1+75%)*$G34,0)</x:f>
        <x:v>648</x:v>
      </x:c>
      <x:c r="J34" s="70" t="n">
        <x:f>ROUND(($D34+$E34+$F34)*(1+100%)*$G34,0)</x:f>
        <x:v>740</x:v>
      </x:c>
      <x:c r="K34" s="70" t="n">
        <x:f>MIN($B$9,MAX($B$8,CEILING(J34,10)))</x:f>
        <x:v>740</x:v>
      </x:c>
      <x:c r="L34" s="70" t="str">
        <x:f>IF(AND(K34&gt;=$B$8,K34&lt;=$B$9),"目标内","需复核")</x:f>
        <x:v>目标内</x:v>
      </x:c>
      <x:c r="M34" s="70" t="n">
        <x:f>K34-C34</x:f>
        <x:v>-1175</x:v>
      </x:c>
      <x:c r="N34" s="72" t="str">
        <x:v>=DISPIMG("ID_B3935CF683BB43A59F5D5837B4B8B1AD",1)</x:v>
      </x:c>
      <x:c r="O34" s="58"/>
      <x:c r="P34" s="58"/>
      <x:c r="Q34" s="58"/>
      <x:c r="R34" s="58"/>
      <x:c r="S34" s="58"/>
      <x:c r="T34" s="58"/>
      <x:c r="U34" s="58"/>
      <x:c r="V34" s="58"/>
      <x:c r="W34" s="58"/>
      <x:c r="X34" s="58"/>
      <x:c r="Y34" s="58"/>
      <x:c r="Z34" s="58"/>
    </x:row>
    <x:row r="35">
      <x:c r="A35" s="68" t="str">
        <x:v>BB25</x:v>
      </x:c>
      <x:c r="B35" s="69" t="str">
        <x:v>925 银彩宝项链</x:v>
      </x:c>
      <x:c r="C35" s="70" t="n">
        <x:v>1535</x:v>
      </x:c>
      <x:c r="D35" s="71" t="n">
        <x:v>176.525</x:v>
      </x:c>
      <x:c r="E35" s="70" t="n">
        <x:f>$B$4</x:f>
        <x:v>120</x:v>
      </x:c>
      <x:c r="F35" s="70" t="n">
        <x:f>$B$5</x:f>
        <x:v>30</x:v>
      </x:c>
      <x:c r="G35" s="70" t="n">
        <x:f>$B$6</x:f>
        <x:v>1</x:v>
      </x:c>
      <x:c r="H35" s="70" t="n">
        <x:f>ROUND(($D35+$E35+$F35)*(1+50%)*$G35,0)</x:f>
        <x:v>490</x:v>
      </x:c>
      <x:c r="I35" s="70" t="n">
        <x:f>ROUND(($D35+$E35+$F35)*(1+75%)*$G35,0)</x:f>
        <x:v>571</x:v>
      </x:c>
      <x:c r="J35" s="70" t="n">
        <x:f>ROUND(($D35+$E35+$F35)*(1+100%)*$G35,0)</x:f>
        <x:v>653</x:v>
      </x:c>
      <x:c r="K35" s="70" t="n">
        <x:f>MIN($B$9,MAX($B$8,CEILING(J35,10)))</x:f>
        <x:v>660</x:v>
      </x:c>
      <x:c r="L35" s="70" t="str">
        <x:f>IF(AND(K35&gt;=$B$8,K35&lt;=$B$9),"目标内","需复核")</x:f>
        <x:v>目标内</x:v>
      </x:c>
      <x:c r="M35" s="70" t="n">
        <x:f>K35-C35</x:f>
        <x:v>-875</x:v>
      </x:c>
      <x:c r="N35" s="72" t="str">
        <x:v>=DISPIMG("ID_804A81F1DD7944CB833DA26079B35814",1)</x:v>
      </x:c>
      <x:c r="O35" s="58"/>
      <x:c r="P35" s="58"/>
      <x:c r="Q35" s="58"/>
      <x:c r="R35" s="58"/>
      <x:c r="S35" s="58"/>
      <x:c r="T35" s="58"/>
      <x:c r="U35" s="58"/>
      <x:c r="V35" s="58"/>
      <x:c r="W35" s="58"/>
      <x:c r="X35" s="58"/>
      <x:c r="Y35" s="58"/>
      <x:c r="Z35" s="58"/>
    </x:row>
    <x:row r="36">
      <x:c r="A36" s="68" t="str">
        <x:v>BB26</x:v>
      </x:c>
      <x:c r="B36" s="69" t="str">
        <x:v>925 银彩宝项链</x:v>
      </x:c>
      <x:c r="C36" s="70" t="n">
        <x:v>1540</x:v>
      </x:c>
      <x:c r="D36" s="71" t="n">
        <x:v>177.1</x:v>
      </x:c>
      <x:c r="E36" s="70" t="n">
        <x:f>$B$4</x:f>
        <x:v>120</x:v>
      </x:c>
      <x:c r="F36" s="70" t="n">
        <x:f>$B$5</x:f>
        <x:v>30</x:v>
      </x:c>
      <x:c r="G36" s="70" t="n">
        <x:f>$B$6</x:f>
        <x:v>1</x:v>
      </x:c>
      <x:c r="H36" s="70" t="n">
        <x:f>ROUND(($D36+$E36+$F36)*(1+50%)*$G36,0)</x:f>
        <x:v>491</x:v>
      </x:c>
      <x:c r="I36" s="70" t="n">
        <x:f>ROUND(($D36+$E36+$F36)*(1+75%)*$G36,0)</x:f>
        <x:v>572</x:v>
      </x:c>
      <x:c r="J36" s="70" t="n">
        <x:f>ROUND(($D36+$E36+$F36)*(1+100%)*$G36,0)</x:f>
        <x:v>654</x:v>
      </x:c>
      <x:c r="K36" s="70" t="n">
        <x:f>MIN($B$9,MAX($B$8,CEILING(J36,10)))</x:f>
        <x:v>660</x:v>
      </x:c>
      <x:c r="L36" s="70" t="str">
        <x:f>IF(AND(K36&gt;=$B$8,K36&lt;=$B$9),"目标内","需复核")</x:f>
        <x:v>目标内</x:v>
      </x:c>
      <x:c r="M36" s="70" t="n">
        <x:f>K36-C36</x:f>
        <x:v>-880</x:v>
      </x:c>
      <x:c r="N36" s="72" t="str">
        <x:v>=DISPIMG("ID_32A684218B1641EB87BB7491411F21FA",1)</x:v>
      </x:c>
      <x:c r="O36" s="58"/>
      <x:c r="P36" s="58"/>
      <x:c r="Q36" s="58"/>
      <x:c r="R36" s="58"/>
      <x:c r="S36" s="58"/>
      <x:c r="T36" s="58"/>
      <x:c r="U36" s="58"/>
      <x:c r="V36" s="58"/>
      <x:c r="W36" s="58"/>
      <x:c r="X36" s="58"/>
      <x:c r="Y36" s="58"/>
      <x:c r="Z36" s="58"/>
    </x:row>
    <x:row r="37">
      <x:c r="A37" s="68" t="str">
        <x:v>BB27</x:v>
      </x:c>
      <x:c r="B37" s="69" t="str">
        <x:v>925 银彩宝项链</x:v>
      </x:c>
      <x:c r="C37" s="70" t="n">
        <x:v>2215</x:v>
      </x:c>
      <x:c r="D37" s="71" t="n">
        <x:v>254.725</x:v>
      </x:c>
      <x:c r="E37" s="70" t="n">
        <x:f>$B$4</x:f>
        <x:v>120</x:v>
      </x:c>
      <x:c r="F37" s="70" t="n">
        <x:f>$B$5</x:f>
        <x:v>30</x:v>
      </x:c>
      <x:c r="G37" s="70" t="n">
        <x:f>$B$6</x:f>
        <x:v>1</x:v>
      </x:c>
      <x:c r="H37" s="70" t="n">
        <x:f>ROUND(($D37+$E37+$F37)*(1+50%)*$G37,0)</x:f>
        <x:v>607</x:v>
      </x:c>
      <x:c r="I37" s="70" t="n">
        <x:f>ROUND(($D37+$E37+$F37)*(1+75%)*$G37,0)</x:f>
        <x:v>708</x:v>
      </x:c>
      <x:c r="J37" s="70" t="n">
        <x:f>ROUND(($D37+$E37+$F37)*(1+100%)*$G37,0)</x:f>
        <x:v>809</x:v>
      </x:c>
      <x:c r="K37" s="70" t="n">
        <x:f>MIN($B$9,MAX($B$8,CEILING(J37,10)))</x:f>
        <x:v>810</x:v>
      </x:c>
      <x:c r="L37" s="70" t="str">
        <x:f>IF(AND(K37&gt;=$B$8,K37&lt;=$B$9),"目标内","需复核")</x:f>
        <x:v>目标内</x:v>
      </x:c>
      <x:c r="M37" s="70" t="n">
        <x:f>K37-C37</x:f>
        <x:v>-1405</x:v>
      </x:c>
      <x:c r="N37" s="72" t="str">
        <x:v>=DISPIMG("ID_0FBD7D071525419892C8FF678576AA2D",1)</x:v>
      </x:c>
      <x:c r="O37" s="58"/>
      <x:c r="P37" s="58"/>
      <x:c r="Q37" s="58"/>
      <x:c r="R37" s="58"/>
      <x:c r="S37" s="58"/>
      <x:c r="T37" s="58"/>
      <x:c r="U37" s="58"/>
      <x:c r="V37" s="58"/>
      <x:c r="W37" s="58"/>
      <x:c r="X37" s="58"/>
      <x:c r="Y37" s="58"/>
      <x:c r="Z37" s="58"/>
    </x:row>
    <x:row r="38">
      <x:c r="A38" s="68" t="str">
        <x:v>BB28</x:v>
      </x:c>
      <x:c r="B38" s="69" t="str">
        <x:v>925 银彩宝项链</x:v>
      </x:c>
      <x:c r="C38" s="70" t="n">
        <x:v>1960</x:v>
      </x:c>
      <x:c r="D38" s="71" t="n">
        <x:v>225.4</x:v>
      </x:c>
      <x:c r="E38" s="70" t="n">
        <x:f>$B$4</x:f>
        <x:v>120</x:v>
      </x:c>
      <x:c r="F38" s="70" t="n">
        <x:f>$B$5</x:f>
        <x:v>30</x:v>
      </x:c>
      <x:c r="G38" s="70" t="n">
        <x:f>$B$6</x:f>
        <x:v>1</x:v>
      </x:c>
      <x:c r="H38" s="70" t="n">
        <x:f>ROUND(($D38+$E38+$F38)*(1+50%)*$G38,0)</x:f>
        <x:v>563</x:v>
      </x:c>
      <x:c r="I38" s="70" t="n">
        <x:f>ROUND(($D38+$E38+$F38)*(1+75%)*$G38,0)</x:f>
        <x:v>657</x:v>
      </x:c>
      <x:c r="J38" s="70" t="n">
        <x:f>ROUND(($D38+$E38+$F38)*(1+100%)*$G38,0)</x:f>
        <x:v>751</x:v>
      </x:c>
      <x:c r="K38" s="70" t="n">
        <x:f>MIN($B$9,MAX($B$8,CEILING(J38,10)))</x:f>
        <x:v>760</x:v>
      </x:c>
      <x:c r="L38" s="70" t="str">
        <x:f>IF(AND(K38&gt;=$B$8,K38&lt;=$B$9),"目标内","需复核")</x:f>
        <x:v>目标内</x:v>
      </x:c>
      <x:c r="M38" s="70" t="n">
        <x:f>K38-C38</x:f>
        <x:v>-1200</x:v>
      </x:c>
      <x:c r="N38" s="72" t="str">
        <x:v>=DISPIMG("ID_A41A94AC80694F94A2F5A66BF7746496",1)</x:v>
      </x:c>
      <x:c r="O38" s="58"/>
      <x:c r="P38" s="58"/>
      <x:c r="Q38" s="58"/>
      <x:c r="R38" s="58"/>
      <x:c r="S38" s="58"/>
      <x:c r="T38" s="58"/>
      <x:c r="U38" s="58"/>
      <x:c r="V38" s="58"/>
      <x:c r="W38" s="58"/>
      <x:c r="X38" s="58"/>
      <x:c r="Y38" s="58"/>
      <x:c r="Z38" s="58"/>
    </x:row>
    <x:row r="39">
      <x:c r="A39" s="68" t="str">
        <x:v>BB29</x:v>
      </x:c>
      <x:c r="B39" s="69" t="str">
        <x:v>925 银彩宝项链</x:v>
      </x:c>
      <x:c r="C39" s="70" t="n">
        <x:v>1945</x:v>
      </x:c>
      <x:c r="D39" s="71" t="n">
        <x:v>223.675</x:v>
      </x:c>
      <x:c r="E39" s="70" t="n">
        <x:f>$B$4</x:f>
        <x:v>120</x:v>
      </x:c>
      <x:c r="F39" s="70" t="n">
        <x:f>$B$5</x:f>
        <x:v>30</x:v>
      </x:c>
      <x:c r="G39" s="70" t="n">
        <x:f>$B$6</x:f>
        <x:v>1</x:v>
      </x:c>
      <x:c r="H39" s="70" t="n">
        <x:f>ROUND(($D39+$E39+$F39)*(1+50%)*$G39,0)</x:f>
        <x:v>561</x:v>
      </x:c>
      <x:c r="I39" s="70" t="n">
        <x:f>ROUND(($D39+$E39+$F39)*(1+75%)*$G39,0)</x:f>
        <x:v>654</x:v>
      </x:c>
      <x:c r="J39" s="70" t="n">
        <x:f>ROUND(($D39+$E39+$F39)*(1+100%)*$G39,0)</x:f>
        <x:v>747</x:v>
      </x:c>
      <x:c r="K39" s="70" t="n">
        <x:f>MIN($B$9,MAX($B$8,CEILING(J39,10)))</x:f>
        <x:v>750</x:v>
      </x:c>
      <x:c r="L39" s="70" t="str">
        <x:f>IF(AND(K39&gt;=$B$8,K39&lt;=$B$9),"目标内","需复核")</x:f>
        <x:v>目标内</x:v>
      </x:c>
      <x:c r="M39" s="70" t="n">
        <x:f>K39-C39</x:f>
        <x:v>-1195</x:v>
      </x:c>
      <x:c r="N39" s="72" t="str">
        <x:v>=DISPIMG("ID_1AA8A98DD6864FAFAA49E10C48E38EA2",1)</x:v>
      </x:c>
      <x:c r="O39" s="58"/>
      <x:c r="P39" s="58"/>
      <x:c r="Q39" s="58"/>
      <x:c r="R39" s="58"/>
      <x:c r="S39" s="58"/>
      <x:c r="T39" s="58"/>
      <x:c r="U39" s="58"/>
      <x:c r="V39" s="58"/>
      <x:c r="W39" s="58"/>
      <x:c r="X39" s="58"/>
      <x:c r="Y39" s="58"/>
      <x:c r="Z39" s="58"/>
    </x:row>
    <x:row r="40">
      <x:c r="A40" s="68" t="str">
        <x:v>BB30</x:v>
      </x:c>
      <x:c r="B40" s="69" t="str">
        <x:v>925 银彩宝项链</x:v>
      </x:c>
      <x:c r="C40" s="70" t="n">
        <x:v>1980</x:v>
      </x:c>
      <x:c r="D40" s="71" t="n">
        <x:v>227.7</x:v>
      </x:c>
      <x:c r="E40" s="70" t="n">
        <x:f>$B$4</x:f>
        <x:v>120</x:v>
      </x:c>
      <x:c r="F40" s="70" t="n">
        <x:f>$B$5</x:f>
        <x:v>30</x:v>
      </x:c>
      <x:c r="G40" s="70" t="n">
        <x:f>$B$6</x:f>
        <x:v>1</x:v>
      </x:c>
      <x:c r="H40" s="70" t="n">
        <x:f>ROUND(($D40+$E40+$F40)*(1+50%)*$G40,0)</x:f>
        <x:v>567</x:v>
      </x:c>
      <x:c r="I40" s="70" t="n">
        <x:f>ROUND(($D40+$E40+$F40)*(1+75%)*$G40,0)</x:f>
        <x:v>661</x:v>
      </x:c>
      <x:c r="J40" s="70" t="n">
        <x:f>ROUND(($D40+$E40+$F40)*(1+100%)*$G40,0)</x:f>
        <x:v>755</x:v>
      </x:c>
      <x:c r="K40" s="70" t="n">
        <x:f>MIN($B$9,MAX($B$8,CEILING(J40,10)))</x:f>
        <x:v>760</x:v>
      </x:c>
      <x:c r="L40" s="70" t="str">
        <x:f>IF(AND(K40&gt;=$B$8,K40&lt;=$B$9),"目标内","需复核")</x:f>
        <x:v>目标内</x:v>
      </x:c>
      <x:c r="M40" s="70" t="n">
        <x:f>K40-C40</x:f>
        <x:v>-1220</x:v>
      </x:c>
      <x:c r="N40" s="72" t="str">
        <x:v>=DISPIMG("ID_91703B9F0AF144B3987A1EB4F3BF5339",1)</x:v>
      </x:c>
      <x:c r="O40" s="58"/>
      <x:c r="P40" s="58"/>
      <x:c r="Q40" s="58"/>
      <x:c r="R40" s="58"/>
      <x:c r="S40" s="58"/>
      <x:c r="T40" s="58"/>
      <x:c r="U40" s="58"/>
      <x:c r="V40" s="58"/>
      <x:c r="W40" s="58"/>
      <x:c r="X40" s="58"/>
      <x:c r="Y40" s="58"/>
      <x:c r="Z40" s="58"/>
    </x:row>
    <x:row r="41">
      <x:c r="A41" s="68" t="str">
        <x:v>BB31</x:v>
      </x:c>
      <x:c r="B41" s="69"/>
      <x:c r="C41" s="70" t="n">
        <x:v>1715</x:v>
      </x:c>
      <x:c r="D41" s="71" t="n">
        <x:v>197.225</x:v>
      </x:c>
      <x:c r="E41" s="70" t="n">
        <x:f>$B$4</x:f>
        <x:v>120</x:v>
      </x:c>
      <x:c r="F41" s="70" t="n">
        <x:f>$B$5</x:f>
        <x:v>30</x:v>
      </x:c>
      <x:c r="G41" s="70" t="n">
        <x:f>$B$6</x:f>
        <x:v>1</x:v>
      </x:c>
      <x:c r="H41" s="70" t="n">
        <x:f>ROUND(($D41+$E41+$F41)*(1+50%)*$G41,0)</x:f>
        <x:v>521</x:v>
      </x:c>
      <x:c r="I41" s="70" t="n">
        <x:f>ROUND(($D41+$E41+$F41)*(1+75%)*$G41,0)</x:f>
        <x:v>608</x:v>
      </x:c>
      <x:c r="J41" s="70" t="n">
        <x:f>ROUND(($D41+$E41+$F41)*(1+100%)*$G41,0)</x:f>
        <x:v>694</x:v>
      </x:c>
      <x:c r="K41" s="70" t="n">
        <x:f>MIN($B$9,MAX($B$8,CEILING(J41,10)))</x:f>
        <x:v>700</x:v>
      </x:c>
      <x:c r="L41" s="70" t="str">
        <x:f>IF(AND(K41&gt;=$B$8,K41&lt;=$B$9),"目标内","需复核")</x:f>
        <x:v>目标内</x:v>
      </x:c>
      <x:c r="M41" s="70" t="n">
        <x:f>K41-C41</x:f>
        <x:v>-1015</x:v>
      </x:c>
      <x:c r="N41" s="72" t="str">
        <x:v>=DISPIMG("ID_56D1E8CF86564C3AAC8B48FAAD27EDC1",1)</x:v>
      </x:c>
      <x:c r="O41" s="58"/>
      <x:c r="P41" s="58"/>
      <x:c r="Q41" s="58"/>
      <x:c r="R41" s="58"/>
      <x:c r="S41" s="58"/>
      <x:c r="T41" s="58"/>
      <x:c r="U41" s="58"/>
      <x:c r="V41" s="58"/>
      <x:c r="W41" s="58"/>
      <x:c r="X41" s="58"/>
      <x:c r="Y41" s="58"/>
      <x:c r="Z41" s="58"/>
    </x:row>
    <x:row r="42">
      <x:c r="A42" s="68" t="str">
        <x:v>BB32</x:v>
      </x:c>
      <x:c r="B42" s="69"/>
      <x:c r="C42" s="70" t="n">
        <x:v>2700</x:v>
      </x:c>
      <x:c r="D42" s="71" t="n">
        <x:v>310.5</x:v>
      </x:c>
      <x:c r="E42" s="70" t="n">
        <x:f>$B$4</x:f>
        <x:v>120</x:v>
      </x:c>
      <x:c r="F42" s="70" t="n">
        <x:f>$B$5</x:f>
        <x:v>30</x:v>
      </x:c>
      <x:c r="G42" s="70" t="n">
        <x:f>$B$6</x:f>
        <x:v>1</x:v>
      </x:c>
      <x:c r="H42" s="70" t="n">
        <x:f>ROUND(($D42+$E42+$F42)*(1+50%)*$G42,0)</x:f>
        <x:v>691</x:v>
      </x:c>
      <x:c r="I42" s="70" t="n">
        <x:f>ROUND(($D42+$E42+$F42)*(1+75%)*$G42,0)</x:f>
        <x:v>806</x:v>
      </x:c>
      <x:c r="J42" s="70" t="n">
        <x:f>ROUND(($D42+$E42+$F42)*(1+100%)*$G42,0)</x:f>
        <x:v>921</x:v>
      </x:c>
      <x:c r="K42" s="70" t="n">
        <x:f>MIN($B$9,MAX($B$8,CEILING(J42,10)))</x:f>
        <x:v>930</x:v>
      </x:c>
      <x:c r="L42" s="70" t="str">
        <x:f>IF(AND(K42&gt;=$B$8,K42&lt;=$B$9),"目标内","需复核")</x:f>
        <x:v>目标内</x:v>
      </x:c>
      <x:c r="M42" s="70" t="n">
        <x:f>K42-C42</x:f>
        <x:v>-1770</x:v>
      </x:c>
      <x:c r="N42" s="72" t="str">
        <x:v>=DISPIMG("ID_DD674FCC69244BCDACA19BC60B82340F",1)</x:v>
      </x:c>
      <x:c r="O42" s="58"/>
      <x:c r="P42" s="58"/>
      <x:c r="Q42" s="58"/>
      <x:c r="R42" s="58"/>
      <x:c r="S42" s="58"/>
      <x:c r="T42" s="58"/>
      <x:c r="U42" s="58"/>
      <x:c r="V42" s="58"/>
      <x:c r="W42" s="58"/>
      <x:c r="X42" s="58"/>
      <x:c r="Y42" s="58"/>
      <x:c r="Z42" s="58"/>
    </x:row>
    <x:row r="43">
      <x:c r="A43" s="68" t="str">
        <x:v>BB33</x:v>
      </x:c>
      <x:c r="B43" s="69"/>
      <x:c r="C43" s="70" t="n">
        <x:v>1200</x:v>
      </x:c>
      <x:c r="D43" s="71" t="n">
        <x:v>138</x:v>
      </x:c>
      <x:c r="E43" s="70" t="n">
        <x:f>$B$4</x:f>
        <x:v>120</x:v>
      </x:c>
      <x:c r="F43" s="70" t="n">
        <x:f>$B$5</x:f>
        <x:v>30</x:v>
      </x:c>
      <x:c r="G43" s="70" t="n">
        <x:f>$B$6</x:f>
        <x:v>1</x:v>
      </x:c>
      <x:c r="H43" s="70" t="n">
        <x:f>ROUND(($D43+$E43+$F43)*(1+50%)*$G43,0)</x:f>
        <x:v>432</x:v>
      </x:c>
      <x:c r="I43" s="70" t="n">
        <x:f>ROUND(($D43+$E43+$F43)*(1+75%)*$G43,0)</x:f>
        <x:v>504</x:v>
      </x:c>
      <x:c r="J43" s="70" t="n">
        <x:f>ROUND(($D43+$E43+$F43)*(1+100%)*$G43,0)</x:f>
        <x:v>576</x:v>
      </x:c>
      <x:c r="K43" s="70" t="n">
        <x:f>MIN($B$9,MAX($B$8,CEILING(J43,10)))</x:f>
        <x:v>600</x:v>
      </x:c>
      <x:c r="L43" s="70" t="str">
        <x:f>IF(AND(K43&gt;=$B$8,K43&lt;=$B$9),"目标内","需复核")</x:f>
        <x:v>目标内</x:v>
      </x:c>
      <x:c r="M43" s="70" t="n">
        <x:f>K43-C43</x:f>
        <x:v>-600</x:v>
      </x:c>
      <x:c r="N43" s="72" t="str">
        <x:v>=DISPIMG("ID_43240049776242F0B327952E6E84CD5C",1)</x:v>
      </x:c>
      <x:c r="O43" s="58"/>
      <x:c r="P43" s="58"/>
      <x:c r="Q43" s="58"/>
      <x:c r="R43" s="58"/>
      <x:c r="S43" s="58"/>
      <x:c r="T43" s="58"/>
      <x:c r="U43" s="58"/>
      <x:c r="V43" s="58"/>
      <x:c r="W43" s="58"/>
      <x:c r="X43" s="58"/>
      <x:c r="Y43" s="58"/>
      <x:c r="Z43" s="58"/>
    </x:row>
    <x:row r="44">
      <x:c r="A44" s="68" t="str">
        <x:v>BB34</x:v>
      </x:c>
      <x:c r="B44" s="69"/>
      <x:c r="C44" s="70" t="n">
        <x:v>3015</x:v>
      </x:c>
      <x:c r="D44" s="71" t="n">
        <x:v>346.725</x:v>
      </x:c>
      <x:c r="E44" s="70" t="n">
        <x:f>$B$4</x:f>
        <x:v>120</x:v>
      </x:c>
      <x:c r="F44" s="70" t="n">
        <x:f>$B$5</x:f>
        <x:v>30</x:v>
      </x:c>
      <x:c r="G44" s="70" t="n">
        <x:f>$B$6</x:f>
        <x:v>1</x:v>
      </x:c>
      <x:c r="H44" s="70" t="n">
        <x:f>ROUND(($D44+$E44+$F44)*(1+50%)*$G44,0)</x:f>
        <x:v>745</x:v>
      </x:c>
      <x:c r="I44" s="70" t="n">
        <x:f>ROUND(($D44+$E44+$F44)*(1+75%)*$G44,0)</x:f>
        <x:v>869</x:v>
      </x:c>
      <x:c r="J44" s="70" t="n">
        <x:f>ROUND(($D44+$E44+$F44)*(1+100%)*$G44,0)</x:f>
        <x:v>993</x:v>
      </x:c>
      <x:c r="K44" s="70" t="n">
        <x:f>MIN($B$9,MAX($B$8,CEILING(J44,10)))</x:f>
        <x:v>1000</x:v>
      </x:c>
      <x:c r="L44" s="70" t="str">
        <x:f>IF(AND(K44&gt;=$B$8,K44&lt;=$B$9),"目标内","需复核")</x:f>
        <x:v>目标内</x:v>
      </x:c>
      <x:c r="M44" s="70" t="n">
        <x:f>K44-C44</x:f>
        <x:v>-2015</x:v>
      </x:c>
      <x:c r="N44" s="72" t="str">
        <x:v>=DISPIMG("ID_0E581B7253DE415EA7A774A7C6269259",1)</x:v>
      </x:c>
      <x:c r="O44" s="58"/>
      <x:c r="P44" s="58"/>
      <x:c r="Q44" s="58"/>
      <x:c r="R44" s="58"/>
      <x:c r="S44" s="58"/>
      <x:c r="T44" s="58"/>
      <x:c r="U44" s="58"/>
      <x:c r="V44" s="58"/>
      <x:c r="W44" s="58"/>
      <x:c r="X44" s="58"/>
      <x:c r="Y44" s="58"/>
      <x:c r="Z44" s="58"/>
    </x:row>
    <x:row r="45">
      <x:c r="A45" s="68" t="str">
        <x:v>BB35</x:v>
      </x:c>
      <x:c r="B45" s="69"/>
      <x:c r="C45" s="70" t="n">
        <x:v>2220</x:v>
      </x:c>
      <x:c r="D45" s="71" t="n">
        <x:v>255.3</x:v>
      </x:c>
      <x:c r="E45" s="70" t="n">
        <x:f>$B$4</x:f>
        <x:v>120</x:v>
      </x:c>
      <x:c r="F45" s="70" t="n">
        <x:f>$B$5</x:f>
        <x:v>30</x:v>
      </x:c>
      <x:c r="G45" s="70" t="n">
        <x:f>$B$6</x:f>
        <x:v>1</x:v>
      </x:c>
      <x:c r="H45" s="70" t="n">
        <x:f>ROUND(($D45+$E45+$F45)*(1+50%)*$G45,0)</x:f>
        <x:v>608</x:v>
      </x:c>
      <x:c r="I45" s="70" t="n">
        <x:f>ROUND(($D45+$E45+$F45)*(1+75%)*$G45,0)</x:f>
        <x:v>709</x:v>
      </x:c>
      <x:c r="J45" s="70" t="n">
        <x:f>ROUND(($D45+$E45+$F45)*(1+100%)*$G45,0)</x:f>
        <x:v>811</x:v>
      </x:c>
      <x:c r="K45" s="70" t="n">
        <x:f>MIN($B$9,MAX($B$8,CEILING(J45,10)))</x:f>
        <x:v>820</x:v>
      </x:c>
      <x:c r="L45" s="70" t="str">
        <x:f>IF(AND(K45&gt;=$B$8,K45&lt;=$B$9),"目标内","需复核")</x:f>
        <x:v>目标内</x:v>
      </x:c>
      <x:c r="M45" s="70" t="n">
        <x:f>K45-C45</x:f>
        <x:v>-1400</x:v>
      </x:c>
      <x:c r="N45" s="72" t="str">
        <x:v>=DISPIMG("ID_8852E2878F1B4757A1F8AFCDD465EEA8",1)</x:v>
      </x:c>
      <x:c r="O45" s="58"/>
      <x:c r="P45" s="58"/>
      <x:c r="Q45" s="58"/>
      <x:c r="R45" s="58"/>
      <x:c r="S45" s="58"/>
      <x:c r="T45" s="58"/>
      <x:c r="U45" s="58"/>
      <x:c r="V45" s="58"/>
      <x:c r="W45" s="58"/>
      <x:c r="X45" s="58"/>
      <x:c r="Y45" s="58"/>
      <x:c r="Z45" s="58"/>
    </x:row>
    <x:row r="46">
      <x:c r="A46" s="68" t="str">
        <x:v>BB36</x:v>
      </x:c>
      <x:c r="B46" s="69"/>
      <x:c r="C46" s="70" t="n">
        <x:v>2130</x:v>
      </x:c>
      <x:c r="D46" s="71" t="n">
        <x:v>244.95</x:v>
      </x:c>
      <x:c r="E46" s="70" t="n">
        <x:f>$B$4</x:f>
        <x:v>120</x:v>
      </x:c>
      <x:c r="F46" s="70" t="n">
        <x:f>$B$5</x:f>
        <x:v>30</x:v>
      </x:c>
      <x:c r="G46" s="70" t="n">
        <x:f>$B$6</x:f>
        <x:v>1</x:v>
      </x:c>
      <x:c r="H46" s="70" t="n">
        <x:f>ROUND(($D46+$E46+$F46)*(1+50%)*$G46,0)</x:f>
        <x:v>592</x:v>
      </x:c>
      <x:c r="I46" s="70" t="n">
        <x:f>ROUND(($D46+$E46+$F46)*(1+75%)*$G46,0)</x:f>
        <x:v>691</x:v>
      </x:c>
      <x:c r="J46" s="70" t="n">
        <x:f>ROUND(($D46+$E46+$F46)*(1+100%)*$G46,0)</x:f>
        <x:v>790</x:v>
      </x:c>
      <x:c r="K46" s="70" t="n">
        <x:f>MIN($B$9,MAX($B$8,CEILING(J46,10)))</x:f>
        <x:v>790</x:v>
      </x:c>
      <x:c r="L46" s="70" t="str">
        <x:f>IF(AND(K46&gt;=$B$8,K46&lt;=$B$9),"目标内","需复核")</x:f>
        <x:v>目标内</x:v>
      </x:c>
      <x:c r="M46" s="70" t="n">
        <x:f>K46-C46</x:f>
        <x:v>-1340</x:v>
      </x:c>
      <x:c r="N46" s="72" t="str">
        <x:v>=DISPIMG("ID_B0528D7ED7CC42E3B34EA10B856FC53B",1)</x:v>
      </x:c>
      <x:c r="O46" s="58"/>
      <x:c r="P46" s="58"/>
      <x:c r="Q46" s="58"/>
      <x:c r="R46" s="58"/>
      <x:c r="S46" s="58"/>
      <x:c r="T46" s="58"/>
      <x:c r="U46" s="58"/>
      <x:c r="V46" s="58"/>
      <x:c r="W46" s="58"/>
      <x:c r="X46" s="58"/>
      <x:c r="Y46" s="58"/>
      <x:c r="Z46" s="58"/>
    </x:row>
    <x:row r="47">
      <x:c r="A47" s="68" t="str">
        <x:v>BB37</x:v>
      </x:c>
      <x:c r="B47" s="69"/>
      <x:c r="C47" s="70" t="n">
        <x:v>1300</x:v>
      </x:c>
      <x:c r="D47" s="71" t="n">
        <x:v>149.5</x:v>
      </x:c>
      <x:c r="E47" s="70" t="n">
        <x:f>$B$4</x:f>
        <x:v>120</x:v>
      </x:c>
      <x:c r="F47" s="70" t="n">
        <x:f>$B$5</x:f>
        <x:v>30</x:v>
      </x:c>
      <x:c r="G47" s="70" t="n">
        <x:f>$B$6</x:f>
        <x:v>1</x:v>
      </x:c>
      <x:c r="H47" s="70" t="n">
        <x:f>ROUND(($D47+$E47+$F47)*(1+50%)*$G47,0)</x:f>
        <x:v>449</x:v>
      </x:c>
      <x:c r="I47" s="70" t="n">
        <x:f>ROUND(($D47+$E47+$F47)*(1+75%)*$G47,0)</x:f>
        <x:v>524</x:v>
      </x:c>
      <x:c r="J47" s="70" t="n">
        <x:f>ROUND(($D47+$E47+$F47)*(1+100%)*$G47,0)</x:f>
        <x:v>599</x:v>
      </x:c>
      <x:c r="K47" s="70" t="n">
        <x:f>MIN($B$9,MAX($B$8,CEILING(J47,10)))</x:f>
        <x:v>600</x:v>
      </x:c>
      <x:c r="L47" s="70" t="str">
        <x:f>IF(AND(K47&gt;=$B$8,K47&lt;=$B$9),"目标内","需复核")</x:f>
        <x:v>目标内</x:v>
      </x:c>
      <x:c r="M47" s="70" t="n">
        <x:f>K47-C47</x:f>
        <x:v>-700</x:v>
      </x:c>
      <x:c r="N47" s="72" t="str">
        <x:v>=DISPIMG("ID_6645CD042C3F42AD95B610BDF0F7AF9B",1)</x:v>
      </x:c>
      <x:c r="O47" s="58"/>
      <x:c r="P47" s="58"/>
      <x:c r="Q47" s="58"/>
      <x:c r="R47" s="58"/>
      <x:c r="S47" s="58"/>
      <x:c r="T47" s="58"/>
      <x:c r="U47" s="58"/>
      <x:c r="V47" s="58"/>
      <x:c r="W47" s="58"/>
      <x:c r="X47" s="58"/>
      <x:c r="Y47" s="58"/>
      <x:c r="Z47" s="58"/>
    </x:row>
    <x:row r="48">
      <x:c r="A48" s="68" t="str">
        <x:v>BB38</x:v>
      </x:c>
      <x:c r="B48" s="69"/>
      <x:c r="C48" s="70" t="n">
        <x:v>2145</x:v>
      </x:c>
      <x:c r="D48" s="71" t="n">
        <x:v>246.675</x:v>
      </x:c>
      <x:c r="E48" s="70" t="n">
        <x:f>$B$4</x:f>
        <x:v>120</x:v>
      </x:c>
      <x:c r="F48" s="70" t="n">
        <x:f>$B$5</x:f>
        <x:v>30</x:v>
      </x:c>
      <x:c r="G48" s="70" t="n">
        <x:f>$B$6</x:f>
        <x:v>1</x:v>
      </x:c>
      <x:c r="H48" s="70" t="n">
        <x:f>ROUND(($D48+$E48+$F48)*(1+50%)*$G48,0)</x:f>
        <x:v>595</x:v>
      </x:c>
      <x:c r="I48" s="70" t="n">
        <x:f>ROUND(($D48+$E48+$F48)*(1+75%)*$G48,0)</x:f>
        <x:v>694</x:v>
      </x:c>
      <x:c r="J48" s="70" t="n">
        <x:f>ROUND(($D48+$E48+$F48)*(1+100%)*$G48,0)</x:f>
        <x:v>793</x:v>
      </x:c>
      <x:c r="K48" s="70" t="n">
        <x:f>MIN($B$9,MAX($B$8,CEILING(J48,10)))</x:f>
        <x:v>800</x:v>
      </x:c>
      <x:c r="L48" s="70" t="str">
        <x:f>IF(AND(K48&gt;=$B$8,K48&lt;=$B$9),"目标内","需复核")</x:f>
        <x:v>目标内</x:v>
      </x:c>
      <x:c r="M48" s="70" t="n">
        <x:f>K48-C48</x:f>
        <x:v>-1345</x:v>
      </x:c>
      <x:c r="N48" s="72" t="str">
        <x:v>=DISPIMG("ID_61E01E7DF5E04248B799A1CECD67F2C3",1)</x:v>
      </x:c>
      <x:c r="O48" s="58"/>
      <x:c r="P48" s="58"/>
      <x:c r="Q48" s="58"/>
      <x:c r="R48" s="58"/>
      <x:c r="S48" s="58"/>
      <x:c r="T48" s="58"/>
      <x:c r="U48" s="58"/>
      <x:c r="V48" s="58"/>
      <x:c r="W48" s="58"/>
      <x:c r="X48" s="58"/>
      <x:c r="Y48" s="58"/>
      <x:c r="Z48" s="58"/>
    </x:row>
    <x:row r="49">
      <x:c r="A49" s="68" t="str">
        <x:v>BB39</x:v>
      </x:c>
      <x:c r="B49" s="69"/>
      <x:c r="C49" s="70" t="n">
        <x:v>1255</x:v>
      </x:c>
      <x:c r="D49" s="71" t="n">
        <x:v>144.325</x:v>
      </x:c>
      <x:c r="E49" s="70" t="n">
        <x:f>$B$4</x:f>
        <x:v>120</x:v>
      </x:c>
      <x:c r="F49" s="70" t="n">
        <x:f>$B$5</x:f>
        <x:v>30</x:v>
      </x:c>
      <x:c r="G49" s="70" t="n">
        <x:f>$B$6</x:f>
        <x:v>1</x:v>
      </x:c>
      <x:c r="H49" s="70" t="n">
        <x:f>ROUND(($D49+$E49+$F49)*(1+50%)*$G49,0)</x:f>
        <x:v>441</x:v>
      </x:c>
      <x:c r="I49" s="70" t="n">
        <x:f>ROUND(($D49+$E49+$F49)*(1+75%)*$G49,0)</x:f>
        <x:v>515</x:v>
      </x:c>
      <x:c r="J49" s="70" t="n">
        <x:f>ROUND(($D49+$E49+$F49)*(1+100%)*$G49,0)</x:f>
        <x:v>589</x:v>
      </x:c>
      <x:c r="K49" s="70" t="n">
        <x:f>MIN($B$9,MAX($B$8,CEILING(J49,10)))</x:f>
        <x:v>600</x:v>
      </x:c>
      <x:c r="L49" s="70" t="str">
        <x:f>IF(AND(K49&gt;=$B$8,K49&lt;=$B$9),"目标内","需复核")</x:f>
        <x:v>目标内</x:v>
      </x:c>
      <x:c r="M49" s="70" t="n">
        <x:f>K49-C49</x:f>
        <x:v>-655</x:v>
      </x:c>
      <x:c r="N49" s="72" t="str">
        <x:v>=DISPIMG("ID_84B8D489CFE9402FA71B985C31BD64F5",1)</x:v>
      </x:c>
      <x:c r="O49" s="58"/>
      <x:c r="P49" s="58"/>
      <x:c r="Q49" s="58"/>
      <x:c r="R49" s="58"/>
      <x:c r="S49" s="58"/>
      <x:c r="T49" s="58"/>
      <x:c r="U49" s="58"/>
      <x:c r="V49" s="58"/>
      <x:c r="W49" s="58"/>
      <x:c r="X49" s="58"/>
      <x:c r="Y49" s="58"/>
      <x:c r="Z49" s="58"/>
    </x:row>
    <x:row r="50">
      <x:c r="A50" s="68" t="str">
        <x:v>BB40</x:v>
      </x:c>
      <x:c r="B50" s="69"/>
      <x:c r="C50" s="70" t="n">
        <x:v>3040</x:v>
      </x:c>
      <x:c r="D50" s="71" t="n">
        <x:v>349.6</x:v>
      </x:c>
      <x:c r="E50" s="70" t="n">
        <x:f>$B$4</x:f>
        <x:v>120</x:v>
      </x:c>
      <x:c r="F50" s="70" t="n">
        <x:f>$B$5</x:f>
        <x:v>30</x:v>
      </x:c>
      <x:c r="G50" s="70" t="n">
        <x:f>$B$6</x:f>
        <x:v>1</x:v>
      </x:c>
      <x:c r="H50" s="70" t="n">
        <x:f>ROUND(($D50+$E50+$F50)*(1+50%)*$G50,0)</x:f>
        <x:v>749</x:v>
      </x:c>
      <x:c r="I50" s="70" t="n">
        <x:f>ROUND(($D50+$E50+$F50)*(1+75%)*$G50,0)</x:f>
        <x:v>874</x:v>
      </x:c>
      <x:c r="J50" s="70" t="n">
        <x:f>ROUND(($D50+$E50+$F50)*(1+100%)*$G50,0)</x:f>
        <x:v>999</x:v>
      </x:c>
      <x:c r="K50" s="70" t="n">
        <x:f>MIN($B$9,MAX($B$8,CEILING(J50,10)))</x:f>
        <x:v>1000</x:v>
      </x:c>
      <x:c r="L50" s="70" t="str">
        <x:f>IF(AND(K50&gt;=$B$8,K50&lt;=$B$9),"目标内","需复核")</x:f>
        <x:v>目标内</x:v>
      </x:c>
      <x:c r="M50" s="70" t="n">
        <x:f>K50-C50</x:f>
        <x:v>-2040</x:v>
      </x:c>
      <x:c r="N50" s="72" t="str">
        <x:v>=DISPIMG("ID_6327C21B61344FCD80E6E1CE2F8798D3",1)</x:v>
      </x:c>
      <x:c r="O50" s="58"/>
      <x:c r="P50" s="58"/>
      <x:c r="Q50" s="58"/>
      <x:c r="R50" s="58"/>
      <x:c r="S50" s="58"/>
      <x:c r="T50" s="58"/>
      <x:c r="U50" s="58"/>
      <x:c r="V50" s="58"/>
      <x:c r="W50" s="58"/>
      <x:c r="X50" s="58"/>
      <x:c r="Y50" s="58"/>
      <x:c r="Z50" s="58"/>
    </x:row>
    <x:row r="51">
      <x:c r="A51" s="68" t="str">
        <x:v>BB41</x:v>
      </x:c>
      <x:c r="B51" s="69"/>
      <x:c r="C51" s="70" t="n">
        <x:v>2725</x:v>
      </x:c>
      <x:c r="D51" s="71" t="n">
        <x:v>313.375</x:v>
      </x:c>
      <x:c r="E51" s="70" t="n">
        <x:f>$B$4</x:f>
        <x:v>120</x:v>
      </x:c>
      <x:c r="F51" s="70" t="n">
        <x:f>$B$5</x:f>
        <x:v>30</x:v>
      </x:c>
      <x:c r="G51" s="70" t="n">
        <x:f>$B$6</x:f>
        <x:v>1</x:v>
      </x:c>
      <x:c r="H51" s="70" t="n">
        <x:f>ROUND(($D51+$E51+$F51)*(1+50%)*$G51,0)</x:f>
        <x:v>695</x:v>
      </x:c>
      <x:c r="I51" s="70" t="n">
        <x:f>ROUND(($D51+$E51+$F51)*(1+75%)*$G51,0)</x:f>
        <x:v>811</x:v>
      </x:c>
      <x:c r="J51" s="70" t="n">
        <x:f>ROUND(($D51+$E51+$F51)*(1+100%)*$G51,0)</x:f>
        <x:v>927</x:v>
      </x:c>
      <x:c r="K51" s="70" t="n">
        <x:f>MIN($B$9,MAX($B$8,CEILING(J51,10)))</x:f>
        <x:v>930</x:v>
      </x:c>
      <x:c r="L51" s="70" t="str">
        <x:f>IF(AND(K51&gt;=$B$8,K51&lt;=$B$9),"目标内","需复核")</x:f>
        <x:v>目标内</x:v>
      </x:c>
      <x:c r="M51" s="70" t="n">
        <x:f>K51-C51</x:f>
        <x:v>-1795</x:v>
      </x:c>
      <x:c r="N51" s="72" t="str">
        <x:v>=DISPIMG("ID_806B96E6C7494BD5A32A552EDCAF3825",1)</x:v>
      </x:c>
      <x:c r="O51" s="58"/>
      <x:c r="P51" s="58"/>
      <x:c r="Q51" s="58"/>
      <x:c r="R51" s="58"/>
      <x:c r="S51" s="58"/>
      <x:c r="T51" s="58"/>
      <x:c r="U51" s="58"/>
      <x:c r="V51" s="58"/>
      <x:c r="W51" s="58"/>
      <x:c r="X51" s="58"/>
      <x:c r="Y51" s="58"/>
      <x:c r="Z51" s="58"/>
    </x:row>
    <x:row r="52">
      <x:c r="A52" s="68" t="str">
        <x:v>BB42</x:v>
      </x:c>
      <x:c r="B52" s="69" t="str">
        <x:v>925 银彩宝项链</x:v>
      </x:c>
      <x:c r="C52" s="70" t="n">
        <x:v>1915</x:v>
      </x:c>
      <x:c r="D52" s="71" t="n">
        <x:v>220.225</x:v>
      </x:c>
      <x:c r="E52" s="70" t="n">
        <x:f>$B$4</x:f>
        <x:v>120</x:v>
      </x:c>
      <x:c r="F52" s="70" t="n">
        <x:f>$B$5</x:f>
        <x:v>30</x:v>
      </x:c>
      <x:c r="G52" s="70" t="n">
        <x:f>$B$6</x:f>
        <x:v>1</x:v>
      </x:c>
      <x:c r="H52" s="70" t="n">
        <x:f>ROUND(($D52+$E52+$F52)*(1+50%)*$G52,0)</x:f>
        <x:v>555</x:v>
      </x:c>
      <x:c r="I52" s="70" t="n">
        <x:f>ROUND(($D52+$E52+$F52)*(1+75%)*$G52,0)</x:f>
        <x:v>648</x:v>
      </x:c>
      <x:c r="J52" s="70" t="n">
        <x:f>ROUND(($D52+$E52+$F52)*(1+100%)*$G52,0)</x:f>
        <x:v>740</x:v>
      </x:c>
      <x:c r="K52" s="70" t="n">
        <x:f>MIN($B$9,MAX($B$8,CEILING(J52,10)))</x:f>
        <x:v>740</x:v>
      </x:c>
      <x:c r="L52" s="70" t="str">
        <x:f>IF(AND(K52&gt;=$B$8,K52&lt;=$B$9),"目标内","需复核")</x:f>
        <x:v>目标内</x:v>
      </x:c>
      <x:c r="M52" s="70" t="n">
        <x:f>K52-C52</x:f>
        <x:v>-1175</x:v>
      </x:c>
      <x:c r="N52" s="72" t="str">
        <x:v>=DISPIMG("ID_37513961B63740D097B1733F7DE88160",1)</x:v>
      </x:c>
      <x:c r="O52" s="58"/>
      <x:c r="P52" s="58"/>
      <x:c r="Q52" s="58"/>
      <x:c r="R52" s="58"/>
      <x:c r="S52" s="58"/>
      <x:c r="T52" s="58"/>
      <x:c r="U52" s="58"/>
      <x:c r="V52" s="58"/>
      <x:c r="W52" s="58"/>
      <x:c r="X52" s="58"/>
      <x:c r="Y52" s="58"/>
      <x:c r="Z52" s="58"/>
    </x:row>
    <x:row r="53">
      <x:c r="A53" s="68" t="str">
        <x:v>BB43</x:v>
      </x:c>
      <x:c r="B53" s="69" t="str">
        <x:v>925 银彩宝项链</x:v>
      </x:c>
      <x:c r="C53" s="70" t="n">
        <x:v>1980</x:v>
      </x:c>
      <x:c r="D53" s="71" t="n">
        <x:v>227.7</x:v>
      </x:c>
      <x:c r="E53" s="70" t="n">
        <x:f>$B$4</x:f>
        <x:v>120</x:v>
      </x:c>
      <x:c r="F53" s="70" t="n">
        <x:f>$B$5</x:f>
        <x:v>30</x:v>
      </x:c>
      <x:c r="G53" s="70" t="n">
        <x:f>$B$6</x:f>
        <x:v>1</x:v>
      </x:c>
      <x:c r="H53" s="70" t="n">
        <x:f>ROUND(($D53+$E53+$F53)*(1+50%)*$G53,0)</x:f>
        <x:v>567</x:v>
      </x:c>
      <x:c r="I53" s="70" t="n">
        <x:f>ROUND(($D53+$E53+$F53)*(1+75%)*$G53,0)</x:f>
        <x:v>661</x:v>
      </x:c>
      <x:c r="J53" s="70" t="n">
        <x:f>ROUND(($D53+$E53+$F53)*(1+100%)*$G53,0)</x:f>
        <x:v>755</x:v>
      </x:c>
      <x:c r="K53" s="70" t="n">
        <x:f>MIN($B$9,MAX($B$8,CEILING(J53,10)))</x:f>
        <x:v>760</x:v>
      </x:c>
      <x:c r="L53" s="70" t="str">
        <x:f>IF(AND(K53&gt;=$B$8,K53&lt;=$B$9),"目标内","需复核")</x:f>
        <x:v>目标内</x:v>
      </x:c>
      <x:c r="M53" s="70" t="n">
        <x:f>K53-C53</x:f>
        <x:v>-1220</x:v>
      </x:c>
      <x:c r="N53" s="72" t="str">
        <x:v>=DISPIMG("ID_EE704DE4A2834E2B99F423FCE264FDB8",1)</x:v>
      </x:c>
      <x:c r="O53" s="58"/>
      <x:c r="P53" s="58"/>
      <x:c r="Q53" s="58"/>
      <x:c r="R53" s="58"/>
      <x:c r="S53" s="58"/>
      <x:c r="T53" s="58"/>
      <x:c r="U53" s="58"/>
      <x:c r="V53" s="58"/>
      <x:c r="W53" s="58"/>
      <x:c r="X53" s="58"/>
      <x:c r="Y53" s="58"/>
      <x:c r="Z53" s="58"/>
    </x:row>
    <x:row r="54">
      <x:c r="A54" s="68" t="str">
        <x:v>BB44</x:v>
      </x:c>
      <x:c r="B54" s="69" t="str">
        <x:v>S925 银彩宝耳钉</x:v>
      </x:c>
      <x:c r="C54" s="70" t="n">
        <x:v>1310</x:v>
      </x:c>
      <x:c r="D54" s="71" t="n">
        <x:v>150.65</x:v>
      </x:c>
      <x:c r="E54" s="70" t="n">
        <x:f>$B$4</x:f>
        <x:v>120</x:v>
      </x:c>
      <x:c r="F54" s="70" t="n">
        <x:f>$B$5</x:f>
        <x:v>30</x:v>
      </x:c>
      <x:c r="G54" s="70" t="n">
        <x:f>$B$6</x:f>
        <x:v>1</x:v>
      </x:c>
      <x:c r="H54" s="70" t="n">
        <x:f>ROUND(($D54+$E54+$F54)*(1+50%)*$G54,0)</x:f>
        <x:v>451</x:v>
      </x:c>
      <x:c r="I54" s="70" t="n">
        <x:f>ROUND(($D54+$E54+$F54)*(1+75%)*$G54,0)</x:f>
        <x:v>526</x:v>
      </x:c>
      <x:c r="J54" s="70" t="n">
        <x:f>ROUND(($D54+$E54+$F54)*(1+100%)*$G54,0)</x:f>
        <x:v>601</x:v>
      </x:c>
      <x:c r="K54" s="70" t="n">
        <x:f>MIN($B$9,MAX($B$8,CEILING(J54,10)))</x:f>
        <x:v>610</x:v>
      </x:c>
      <x:c r="L54" s="70" t="str">
        <x:f>IF(AND(K54&gt;=$B$8,K54&lt;=$B$9),"目标内","需复核")</x:f>
        <x:v>目标内</x:v>
      </x:c>
      <x:c r="M54" s="70" t="n">
        <x:f>K54-C54</x:f>
        <x:v>-700</x:v>
      </x:c>
      <x:c r="N54" s="72" t="str">
        <x:v>=DISPIMG("ID_22DD9485E41E4C4983BBEA67429AE9EB",1)</x:v>
      </x:c>
      <x:c r="O54" s="58"/>
      <x:c r="P54" s="58"/>
      <x:c r="Q54" s="58"/>
      <x:c r="R54" s="58"/>
      <x:c r="S54" s="58"/>
      <x:c r="T54" s="58"/>
      <x:c r="U54" s="58"/>
      <x:c r="V54" s="58"/>
      <x:c r="W54" s="58"/>
      <x:c r="X54" s="58"/>
      <x:c r="Y54" s="58"/>
      <x:c r="Z54" s="58"/>
    </x:row>
    <x:row r="55">
      <x:c r="A55" s="68" t="str">
        <x:v>BB45</x:v>
      </x:c>
      <x:c r="B55" s="69"/>
      <x:c r="C55" s="70" t="n">
        <x:v>1650</x:v>
      </x:c>
      <x:c r="D55" s="71" t="n">
        <x:v>189.75</x:v>
      </x:c>
      <x:c r="E55" s="70" t="n">
        <x:f>$B$4</x:f>
        <x:v>120</x:v>
      </x:c>
      <x:c r="F55" s="70" t="n">
        <x:f>$B$5</x:f>
        <x:v>30</x:v>
      </x:c>
      <x:c r="G55" s="70" t="n">
        <x:f>$B$6</x:f>
        <x:v>1</x:v>
      </x:c>
      <x:c r="H55" s="70" t="n">
        <x:f>ROUND(($D55+$E55+$F55)*(1+50%)*$G55,0)</x:f>
        <x:v>510</x:v>
      </x:c>
      <x:c r="I55" s="70" t="n">
        <x:f>ROUND(($D55+$E55+$F55)*(1+75%)*$G55,0)</x:f>
        <x:v>595</x:v>
      </x:c>
      <x:c r="J55" s="70" t="n">
        <x:f>ROUND(($D55+$E55+$F55)*(1+100%)*$G55,0)</x:f>
        <x:v>680</x:v>
      </x:c>
      <x:c r="K55" s="70" t="n">
        <x:f>MIN($B$9,MAX($B$8,CEILING(J55,10)))</x:f>
        <x:v>680</x:v>
      </x:c>
      <x:c r="L55" s="70" t="str">
        <x:f>IF(AND(K55&gt;=$B$8,K55&lt;=$B$9),"目标内","需复核")</x:f>
        <x:v>目标内</x:v>
      </x:c>
      <x:c r="M55" s="70" t="n">
        <x:f>K55-C55</x:f>
        <x:v>-970</x:v>
      </x:c>
      <x:c r="N55" s="72" t="str">
        <x:v>=DISPIMG("ID_7E15D369D26D4314B2D48809DED73A24",1)</x:v>
      </x:c>
      <x:c r="O55" s="58"/>
      <x:c r="P55" s="58"/>
      <x:c r="Q55" s="58"/>
      <x:c r="R55" s="58"/>
      <x:c r="S55" s="58"/>
      <x:c r="T55" s="58"/>
      <x:c r="U55" s="58"/>
      <x:c r="V55" s="58"/>
      <x:c r="W55" s="58"/>
      <x:c r="X55" s="58"/>
      <x:c r="Y55" s="58"/>
      <x:c r="Z55" s="58"/>
    </x:row>
    <x:row r="56">
      <x:c r="A56" s="68" t="str">
        <x:v>BB46</x:v>
      </x:c>
      <x:c r="B56" s="69"/>
      <x:c r="C56" s="70" t="n">
        <x:v>2380</x:v>
      </x:c>
      <x:c r="D56" s="71" t="n">
        <x:v>273.7</x:v>
      </x:c>
      <x:c r="E56" s="70" t="n">
        <x:f>$B$4</x:f>
        <x:v>120</x:v>
      </x:c>
      <x:c r="F56" s="70" t="n">
        <x:f>$B$5</x:f>
        <x:v>30</x:v>
      </x:c>
      <x:c r="G56" s="70" t="n">
        <x:f>$B$6</x:f>
        <x:v>1</x:v>
      </x:c>
      <x:c r="H56" s="70" t="n">
        <x:f>ROUND(($D56+$E56+$F56)*(1+50%)*$G56,0)</x:f>
        <x:v>636</x:v>
      </x:c>
      <x:c r="I56" s="70" t="n">
        <x:f>ROUND(($D56+$E56+$F56)*(1+75%)*$G56,0)</x:f>
        <x:v>741</x:v>
      </x:c>
      <x:c r="J56" s="70" t="n">
        <x:f>ROUND(($D56+$E56+$F56)*(1+100%)*$G56,0)</x:f>
        <x:v>847</x:v>
      </x:c>
      <x:c r="K56" s="70" t="n">
        <x:f>MIN($B$9,MAX($B$8,CEILING(J56,10)))</x:f>
        <x:v>850</x:v>
      </x:c>
      <x:c r="L56" s="70" t="str">
        <x:f>IF(AND(K56&gt;=$B$8,K56&lt;=$B$9),"目标内","需复核")</x:f>
        <x:v>目标内</x:v>
      </x:c>
      <x:c r="M56" s="70" t="n">
        <x:f>K56-C56</x:f>
        <x:v>-1530</x:v>
      </x:c>
      <x:c r="N56" s="72" t="str">
        <x:v>=DISPIMG("ID_546CBE78826D43069A2D2A9661D63B49",1)</x:v>
      </x:c>
      <x:c r="O56" s="58"/>
      <x:c r="P56" s="58"/>
      <x:c r="Q56" s="58"/>
      <x:c r="R56" s="58"/>
      <x:c r="S56" s="58"/>
      <x:c r="T56" s="58"/>
      <x:c r="U56" s="58"/>
      <x:c r="V56" s="58"/>
      <x:c r="W56" s="58"/>
      <x:c r="X56" s="58"/>
      <x:c r="Y56" s="58"/>
      <x:c r="Z56" s="58"/>
    </x:row>
    <x:row r="57">
      <x:c r="A57" s="68" t="str">
        <x:v>BB47</x:v>
      </x:c>
      <x:c r="B57" s="69"/>
      <x:c r="C57" s="70" t="n">
        <x:v>1255</x:v>
      </x:c>
      <x:c r="D57" s="71" t="n">
        <x:v>144.325</x:v>
      </x:c>
      <x:c r="E57" s="70" t="n">
        <x:f>$B$4</x:f>
        <x:v>120</x:v>
      </x:c>
      <x:c r="F57" s="70" t="n">
        <x:f>$B$5</x:f>
        <x:v>30</x:v>
      </x:c>
      <x:c r="G57" s="70" t="n">
        <x:f>$B$6</x:f>
        <x:v>1</x:v>
      </x:c>
      <x:c r="H57" s="70" t="n">
        <x:f>ROUND(($D57+$E57+$F57)*(1+50%)*$G57,0)</x:f>
        <x:v>441</x:v>
      </x:c>
      <x:c r="I57" s="70" t="n">
        <x:f>ROUND(($D57+$E57+$F57)*(1+75%)*$G57,0)</x:f>
        <x:v>515</x:v>
      </x:c>
      <x:c r="J57" s="70" t="n">
        <x:f>ROUND(($D57+$E57+$F57)*(1+100%)*$G57,0)</x:f>
        <x:v>589</x:v>
      </x:c>
      <x:c r="K57" s="70" t="n">
        <x:f>MIN($B$9,MAX($B$8,CEILING(J57,10)))</x:f>
        <x:v>600</x:v>
      </x:c>
      <x:c r="L57" s="70" t="str">
        <x:f>IF(AND(K57&gt;=$B$8,K57&lt;=$B$9),"目标内","需复核")</x:f>
        <x:v>目标内</x:v>
      </x:c>
      <x:c r="M57" s="70" t="n">
        <x:f>K57-C57</x:f>
        <x:v>-655</x:v>
      </x:c>
      <x:c r="N57" s="72" t="str">
        <x:v>=DISPIMG("ID_1B2E4B78390842DF86DC44D235192F2E",1)</x:v>
      </x:c>
      <x:c r="O57" s="58"/>
      <x:c r="P57" s="58"/>
      <x:c r="Q57" s="58"/>
      <x:c r="R57" s="58"/>
      <x:c r="S57" s="58"/>
      <x:c r="T57" s="58"/>
      <x:c r="U57" s="58"/>
      <x:c r="V57" s="58"/>
      <x:c r="W57" s="58"/>
      <x:c r="X57" s="58"/>
      <x:c r="Y57" s="58"/>
      <x:c r="Z57" s="58"/>
    </x:row>
    <x:row r="58">
      <x:c r="A58" s="68" t="str">
        <x:v>BB48</x:v>
      </x:c>
      <x:c r="B58" s="69" t="str">
        <x:v>S925 银彩宝耳钉</x:v>
      </x:c>
      <x:c r="C58" s="70" t="n">
        <x:v>2065</x:v>
      </x:c>
      <x:c r="D58" s="71" t="n">
        <x:v>237.475</x:v>
      </x:c>
      <x:c r="E58" s="70" t="n">
        <x:f>$B$4</x:f>
        <x:v>120</x:v>
      </x:c>
      <x:c r="F58" s="70" t="n">
        <x:f>$B$5</x:f>
        <x:v>30</x:v>
      </x:c>
      <x:c r="G58" s="70" t="n">
        <x:f>$B$6</x:f>
        <x:v>1</x:v>
      </x:c>
      <x:c r="H58" s="70" t="n">
        <x:f>ROUND(($D58+$E58+$F58)*(1+50%)*$G58,0)</x:f>
        <x:v>581</x:v>
      </x:c>
      <x:c r="I58" s="70" t="n">
        <x:f>ROUND(($D58+$E58+$F58)*(1+75%)*$G58,0)</x:f>
        <x:v>678</x:v>
      </x:c>
      <x:c r="J58" s="70" t="n">
        <x:f>ROUND(($D58+$E58+$F58)*(1+100%)*$G58,0)</x:f>
        <x:v>775</x:v>
      </x:c>
      <x:c r="K58" s="70" t="n">
        <x:f>MIN($B$9,MAX($B$8,CEILING(J58,10)))</x:f>
        <x:v>780</x:v>
      </x:c>
      <x:c r="L58" s="70" t="str">
        <x:f>IF(AND(K58&gt;=$B$8,K58&lt;=$B$9),"目标内","需复核")</x:f>
        <x:v>目标内</x:v>
      </x:c>
      <x:c r="M58" s="70" t="n">
        <x:f>K58-C58</x:f>
        <x:v>-1285</x:v>
      </x:c>
      <x:c r="N58" s="72" t="str">
        <x:v>=DISPIMG("ID_7DCC57327EDF4687ACEE8141EAC58EEC",1)</x:v>
      </x:c>
      <x:c r="O58" s="58"/>
      <x:c r="P58" s="58"/>
      <x:c r="Q58" s="58"/>
      <x:c r="R58" s="58"/>
      <x:c r="S58" s="58"/>
      <x:c r="T58" s="58"/>
      <x:c r="U58" s="58"/>
      <x:c r="V58" s="58"/>
      <x:c r="W58" s="58"/>
      <x:c r="X58" s="58"/>
      <x:c r="Y58" s="58"/>
      <x:c r="Z58" s="58"/>
    </x:row>
    <x:row r="59">
      <x:c r="A59" s="68" t="str">
        <x:v>BB49</x:v>
      </x:c>
      <x:c r="B59" s="69"/>
      <x:c r="C59" s="70" t="n">
        <x:v>1880</x:v>
      </x:c>
      <x:c r="D59" s="71" t="n">
        <x:v>216.2</x:v>
      </x:c>
      <x:c r="E59" s="70" t="n">
        <x:f>$B$4</x:f>
        <x:v>120</x:v>
      </x:c>
      <x:c r="F59" s="70" t="n">
        <x:f>$B$5</x:f>
        <x:v>30</x:v>
      </x:c>
      <x:c r="G59" s="70" t="n">
        <x:f>$B$6</x:f>
        <x:v>1</x:v>
      </x:c>
      <x:c r="H59" s="70" t="n">
        <x:f>ROUND(($D59+$E59+$F59)*(1+50%)*$G59,0)</x:f>
        <x:v>549</x:v>
      </x:c>
      <x:c r="I59" s="70" t="n">
        <x:f>ROUND(($D59+$E59+$F59)*(1+75%)*$G59,0)</x:f>
        <x:v>641</x:v>
      </x:c>
      <x:c r="J59" s="70" t="n">
        <x:f>ROUND(($D59+$E59+$F59)*(1+100%)*$G59,0)</x:f>
        <x:v>732</x:v>
      </x:c>
      <x:c r="K59" s="70" t="n">
        <x:f>MIN($B$9,MAX($B$8,CEILING(J59,10)))</x:f>
        <x:v>740</x:v>
      </x:c>
      <x:c r="L59" s="70" t="str">
        <x:f>IF(AND(K59&gt;=$B$8,K59&lt;=$B$9),"目标内","需复核")</x:f>
        <x:v>目标内</x:v>
      </x:c>
      <x:c r="M59" s="70" t="n">
        <x:f>K59-C59</x:f>
        <x:v>-1140</x:v>
      </x:c>
      <x:c r="N59" s="72" t="str">
        <x:v>=DISPIMG("ID_20E815286DD443ADB163EE43A3129EF7",1)</x:v>
      </x:c>
      <x:c r="O59" s="58"/>
      <x:c r="P59" s="58"/>
      <x:c r="Q59" s="58"/>
      <x:c r="R59" s="58"/>
      <x:c r="S59" s="58"/>
      <x:c r="T59" s="58"/>
      <x:c r="U59" s="58"/>
      <x:c r="V59" s="58"/>
      <x:c r="W59" s="58"/>
      <x:c r="X59" s="58"/>
      <x:c r="Y59" s="58"/>
      <x:c r="Z59" s="58"/>
    </x:row>
    <x:row r="60">
      <x:c r="A60" s="68" t="str">
        <x:v>BB50</x:v>
      </x:c>
      <x:c r="B60" s="69"/>
      <x:c r="C60" s="70" t="n">
        <x:v>1150</x:v>
      </x:c>
      <x:c r="D60" s="71" t="n">
        <x:v>132.25</x:v>
      </x:c>
      <x:c r="E60" s="70" t="n">
        <x:f>$B$4</x:f>
        <x:v>120</x:v>
      </x:c>
      <x:c r="F60" s="70" t="n">
        <x:f>$B$5</x:f>
        <x:v>30</x:v>
      </x:c>
      <x:c r="G60" s="70" t="n">
        <x:f>$B$6</x:f>
        <x:v>1</x:v>
      </x:c>
      <x:c r="H60" s="70" t="n">
        <x:f>ROUND(($D60+$E60+$F60)*(1+50%)*$G60,0)</x:f>
        <x:v>423</x:v>
      </x:c>
      <x:c r="I60" s="70" t="n">
        <x:f>ROUND(($D60+$E60+$F60)*(1+75%)*$G60,0)</x:f>
        <x:v>494</x:v>
      </x:c>
      <x:c r="J60" s="70" t="n">
        <x:f>ROUND(($D60+$E60+$F60)*(1+100%)*$G60,0)</x:f>
        <x:v>565</x:v>
      </x:c>
      <x:c r="K60" s="70" t="n">
        <x:f>MIN($B$9,MAX($B$8,CEILING(J60,10)))</x:f>
        <x:v>600</x:v>
      </x:c>
      <x:c r="L60" s="70" t="str">
        <x:f>IF(AND(K60&gt;=$B$8,K60&lt;=$B$9),"目标内","需复核")</x:f>
        <x:v>目标内</x:v>
      </x:c>
      <x:c r="M60" s="70" t="n">
        <x:f>K60-C60</x:f>
        <x:v>-550</x:v>
      </x:c>
      <x:c r="N60" s="72" t="str">
        <x:v>=DISPIMG("ID_178A6B1B910D4541B9AC1EFBD45F723D",1)</x:v>
      </x:c>
      <x:c r="O60" s="58"/>
      <x:c r="P60" s="58"/>
      <x:c r="Q60" s="58"/>
      <x:c r="R60" s="58"/>
      <x:c r="S60" s="58"/>
      <x:c r="T60" s="58"/>
      <x:c r="U60" s="58"/>
      <x:c r="V60" s="58"/>
      <x:c r="W60" s="58"/>
      <x:c r="X60" s="58"/>
      <x:c r="Y60" s="58"/>
      <x:c r="Z60" s="58"/>
    </x:row>
    <x:row r="61">
      <x:c r="A61" s="68" t="str">
        <x:v>BB51</x:v>
      </x:c>
      <x:c r="B61" s="69"/>
      <x:c r="C61" s="70" t="n">
        <x:v>1450</x:v>
      </x:c>
      <x:c r="D61" s="71" t="n">
        <x:v>166.75</x:v>
      </x:c>
      <x:c r="E61" s="70" t="n">
        <x:f>$B$4</x:f>
        <x:v>120</x:v>
      </x:c>
      <x:c r="F61" s="70" t="n">
        <x:f>$B$5</x:f>
        <x:v>30</x:v>
      </x:c>
      <x:c r="G61" s="70" t="n">
        <x:f>$B$6</x:f>
        <x:v>1</x:v>
      </x:c>
      <x:c r="H61" s="70" t="n">
        <x:f>ROUND(($D61+$E61+$F61)*(1+50%)*$G61,0)</x:f>
        <x:v>475</x:v>
      </x:c>
      <x:c r="I61" s="70" t="n">
        <x:f>ROUND(($D61+$E61+$F61)*(1+75%)*$G61,0)</x:f>
        <x:v>554</x:v>
      </x:c>
      <x:c r="J61" s="70" t="n">
        <x:f>ROUND(($D61+$E61+$F61)*(1+100%)*$G61,0)</x:f>
        <x:v>634</x:v>
      </x:c>
      <x:c r="K61" s="70" t="n">
        <x:f>MIN($B$9,MAX($B$8,CEILING(J61,10)))</x:f>
        <x:v>640</x:v>
      </x:c>
      <x:c r="L61" s="70" t="str">
        <x:f>IF(AND(K61&gt;=$B$8,K61&lt;=$B$9),"目标内","需复核")</x:f>
        <x:v>目标内</x:v>
      </x:c>
      <x:c r="M61" s="70" t="n">
        <x:f>K61-C61</x:f>
        <x:v>-810</x:v>
      </x:c>
      <x:c r="N61" s="72" t="str">
        <x:v>=DISPIMG("ID_779E33341DFA4DABB5F9AE235D7DD82A",1)</x:v>
      </x:c>
      <x:c r="O61" s="58"/>
      <x:c r="P61" s="58"/>
      <x:c r="Q61" s="58"/>
      <x:c r="R61" s="58"/>
      <x:c r="S61" s="58"/>
      <x:c r="T61" s="58"/>
      <x:c r="U61" s="58"/>
      <x:c r="V61" s="58"/>
      <x:c r="W61" s="58"/>
      <x:c r="X61" s="58"/>
      <x:c r="Y61" s="58"/>
      <x:c r="Z61" s="58"/>
    </x:row>
    <x:row r="62">
      <x:c r="A62" s="68" t="str">
        <x:v>BB52</x:v>
      </x:c>
      <x:c r="B62" s="69"/>
      <x:c r="C62" s="70" t="n">
        <x:v>1800</x:v>
      </x:c>
      <x:c r="D62" s="71" t="n">
        <x:v>207</x:v>
      </x:c>
      <x:c r="E62" s="70" t="n">
        <x:f>$B$4</x:f>
        <x:v>120</x:v>
      </x:c>
      <x:c r="F62" s="70" t="n">
        <x:f>$B$5</x:f>
        <x:v>30</x:v>
      </x:c>
      <x:c r="G62" s="70" t="n">
        <x:f>$B$6</x:f>
        <x:v>1</x:v>
      </x:c>
      <x:c r="H62" s="70" t="n">
        <x:f>ROUND(($D62+$E62+$F62)*(1+50%)*$G62,0)</x:f>
        <x:v>536</x:v>
      </x:c>
      <x:c r="I62" s="70" t="n">
        <x:f>ROUND(($D62+$E62+$F62)*(1+75%)*$G62,0)</x:f>
        <x:v>625</x:v>
      </x:c>
      <x:c r="J62" s="70" t="n">
        <x:f>ROUND(($D62+$E62+$F62)*(1+100%)*$G62,0)</x:f>
        <x:v>714</x:v>
      </x:c>
      <x:c r="K62" s="70" t="n">
        <x:f>MIN($B$9,MAX($B$8,CEILING(J62,10)))</x:f>
        <x:v>720</x:v>
      </x:c>
      <x:c r="L62" s="70" t="str">
        <x:f>IF(AND(K62&gt;=$B$8,K62&lt;=$B$9),"目标内","需复核")</x:f>
        <x:v>目标内</x:v>
      </x:c>
      <x:c r="M62" s="70" t="n">
        <x:f>K62-C62</x:f>
        <x:v>-1080</x:v>
      </x:c>
      <x:c r="N62" s="72" t="str">
        <x:v>=DISPIMG("ID_5AA97705B87B45E4B7C8CF5B393ACBBA",1)</x:v>
      </x:c>
      <x:c r="O62" s="58"/>
      <x:c r="P62" s="58"/>
      <x:c r="Q62" s="58"/>
      <x:c r="R62" s="58"/>
      <x:c r="S62" s="58"/>
      <x:c r="T62" s="58"/>
      <x:c r="U62" s="58"/>
      <x:c r="V62" s="58"/>
      <x:c r="W62" s="58"/>
      <x:c r="X62" s="58"/>
      <x:c r="Y62" s="58"/>
      <x:c r="Z62" s="58"/>
    </x:row>
    <x:row r="63">
      <x:c r="A63" s="68" t="str">
        <x:v>BB53</x:v>
      </x:c>
      <x:c r="B63" s="69" t="str">
        <x:v>圆粉耳钉</x:v>
      </x:c>
      <x:c r="C63" s="70" t="n">
        <x:v>1575</x:v>
      </x:c>
      <x:c r="D63" s="71" t="n">
        <x:v>181.125</x:v>
      </x:c>
      <x:c r="E63" s="70" t="n">
        <x:f>$B$4</x:f>
        <x:v>120</x:v>
      </x:c>
      <x:c r="F63" s="70" t="n">
        <x:f>$B$5</x:f>
        <x:v>30</x:v>
      </x:c>
      <x:c r="G63" s="70" t="n">
        <x:f>$B$6</x:f>
        <x:v>1</x:v>
      </x:c>
      <x:c r="H63" s="70" t="n">
        <x:f>ROUND(($D63+$E63+$F63)*(1+50%)*$G63,0)</x:f>
        <x:v>497</x:v>
      </x:c>
      <x:c r="I63" s="70" t="n">
        <x:f>ROUND(($D63+$E63+$F63)*(1+75%)*$G63,0)</x:f>
        <x:v>579</x:v>
      </x:c>
      <x:c r="J63" s="70" t="n">
        <x:f>ROUND(($D63+$E63+$F63)*(1+100%)*$G63,0)</x:f>
        <x:v>662</x:v>
      </x:c>
      <x:c r="K63" s="70" t="n">
        <x:f>MIN($B$9,MAX($B$8,CEILING(J63,10)))</x:f>
        <x:v>670</x:v>
      </x:c>
      <x:c r="L63" s="70" t="str">
        <x:f>IF(AND(K63&gt;=$B$8,K63&lt;=$B$9),"目标内","需复核")</x:f>
        <x:v>目标内</x:v>
      </x:c>
      <x:c r="M63" s="70" t="n">
        <x:f>K63-C63</x:f>
        <x:v>-905</x:v>
      </x:c>
      <x:c r="N63" s="72" t="str">
        <x:v>=DISPIMG("ID_B02257C00E824CC2ADD73EFA0F3E7A90",1)</x:v>
      </x:c>
      <x:c r="O63" s="58"/>
      <x:c r="P63" s="58"/>
      <x:c r="Q63" s="58"/>
      <x:c r="R63" s="58"/>
      <x:c r="S63" s="58"/>
      <x:c r="T63" s="58"/>
      <x:c r="U63" s="58"/>
      <x:c r="V63" s="58"/>
      <x:c r="W63" s="58"/>
      <x:c r="X63" s="58"/>
      <x:c r="Y63" s="58"/>
      <x:c r="Z63" s="58"/>
    </x:row>
    <x:row r="64">
      <x:c r="A64" s="68" t="str">
        <x:v>BB54</x:v>
      </x:c>
      <x:c r="B64" s="69" t="str">
        <x:v>圆蓝耳钉</x:v>
      </x:c>
      <x:c r="C64" s="70" t="n">
        <x:v>1330</x:v>
      </x:c>
      <x:c r="D64" s="71" t="n">
        <x:v>152.95</x:v>
      </x:c>
      <x:c r="E64" s="70" t="n">
        <x:f>$B$4</x:f>
        <x:v>120</x:v>
      </x:c>
      <x:c r="F64" s="70" t="n">
        <x:f>$B$5</x:f>
        <x:v>30</x:v>
      </x:c>
      <x:c r="G64" s="70" t="n">
        <x:f>$B$6</x:f>
        <x:v>1</x:v>
      </x:c>
      <x:c r="H64" s="70" t="n">
        <x:f>ROUND(($D64+$E64+$F64)*(1+50%)*$G64,0)</x:f>
        <x:v>454</x:v>
      </x:c>
      <x:c r="I64" s="70" t="n">
        <x:f>ROUND(($D64+$E64+$F64)*(1+75%)*$G64,0)</x:f>
        <x:v>530</x:v>
      </x:c>
      <x:c r="J64" s="70" t="n">
        <x:f>ROUND(($D64+$E64+$F64)*(1+100%)*$G64,0)</x:f>
        <x:v>606</x:v>
      </x:c>
      <x:c r="K64" s="70" t="n">
        <x:f>MIN($B$9,MAX($B$8,CEILING(J64,10)))</x:f>
        <x:v>610</x:v>
      </x:c>
      <x:c r="L64" s="70" t="str">
        <x:f>IF(AND(K64&gt;=$B$8,K64&lt;=$B$9),"目标内","需复核")</x:f>
        <x:v>目标内</x:v>
      </x:c>
      <x:c r="M64" s="70" t="n">
        <x:f>K64-C64</x:f>
        <x:v>-720</x:v>
      </x:c>
      <x:c r="N64" s="72" t="str">
        <x:v>=DISPIMG("ID_EE51E3C4B1644EECAC8B444882FFD86F",1)</x:v>
      </x:c>
      <x:c r="O64" s="58"/>
      <x:c r="P64" s="58"/>
      <x:c r="Q64" s="58"/>
      <x:c r="R64" s="58"/>
      <x:c r="S64" s="58"/>
      <x:c r="T64" s="58"/>
      <x:c r="U64" s="58"/>
      <x:c r="V64" s="58"/>
      <x:c r="W64" s="58"/>
      <x:c r="X64" s="58"/>
      <x:c r="Y64" s="58"/>
      <x:c r="Z64" s="58"/>
    </x:row>
    <x:row r="65">
      <x:c r="A65" s="68" t="str">
        <x:v>BB55</x:v>
      </x:c>
      <x:c r="B65" s="69" t="str">
        <x:v>圆黄戒指</x:v>
      </x:c>
      <x:c r="C65" s="70" t="n">
        <x:v>1505</x:v>
      </x:c>
      <x:c r="D65" s="71" t="n">
        <x:v>173.075</x:v>
      </x:c>
      <x:c r="E65" s="70" t="n">
        <x:f>$B$4</x:f>
        <x:v>120</x:v>
      </x:c>
      <x:c r="F65" s="70" t="n">
        <x:f>$B$5</x:f>
        <x:v>30</x:v>
      </x:c>
      <x:c r="G65" s="70" t="n">
        <x:f>$B$6</x:f>
        <x:v>1</x:v>
      </x:c>
      <x:c r="H65" s="70" t="n">
        <x:f>ROUND(($D65+$E65+$F65)*(1+50%)*$G65,0)</x:f>
        <x:v>485</x:v>
      </x:c>
      <x:c r="I65" s="70" t="n">
        <x:f>ROUND(($D65+$E65+$F65)*(1+75%)*$G65,0)</x:f>
        <x:v>565</x:v>
      </x:c>
      <x:c r="J65" s="70" t="n">
        <x:f>ROUND(($D65+$E65+$F65)*(1+100%)*$G65,0)</x:f>
        <x:v>646</x:v>
      </x:c>
      <x:c r="K65" s="70" t="n">
        <x:f>MIN($B$9,MAX($B$8,CEILING(J65,10)))</x:f>
        <x:v>650</x:v>
      </x:c>
      <x:c r="L65" s="70" t="str">
        <x:f>IF(AND(K65&gt;=$B$8,K65&lt;=$B$9),"目标内","需复核")</x:f>
        <x:v>目标内</x:v>
      </x:c>
      <x:c r="M65" s="70" t="n">
        <x:f>K65-C65</x:f>
        <x:v>-855</x:v>
      </x:c>
      <x:c r="N65" s="72" t="str">
        <x:v>=DISPIMG("ID_F0D913EE026E481E8778A1717D8AF28B",1)</x:v>
      </x:c>
      <x:c r="O65" s="58"/>
      <x:c r="P65" s="58"/>
      <x:c r="Q65" s="58"/>
      <x:c r="R65" s="58"/>
      <x:c r="S65" s="58"/>
      <x:c r="T65" s="58"/>
      <x:c r="U65" s="58"/>
      <x:c r="V65" s="58"/>
      <x:c r="W65" s="58"/>
      <x:c r="X65" s="58"/>
      <x:c r="Y65" s="58"/>
      <x:c r="Z65" s="58"/>
    </x:row>
    <x:row r="66">
      <x:c r="A66" s="68" t="str">
        <x:v>BB56</x:v>
      </x:c>
      <x:c r="B66" s="69" t="str">
        <x:v>圆粉耳钉</x:v>
      </x:c>
      <x:c r="C66" s="70" t="n">
        <x:v>1070</x:v>
      </x:c>
      <x:c r="D66" s="71" t="n">
        <x:v>123.05</x:v>
      </x:c>
      <x:c r="E66" s="70" t="n">
        <x:f>$B$4</x:f>
        <x:v>120</x:v>
      </x:c>
      <x:c r="F66" s="70" t="n">
        <x:f>$B$5</x:f>
        <x:v>30</x:v>
      </x:c>
      <x:c r="G66" s="70" t="n">
        <x:f>$B$6</x:f>
        <x:v>1</x:v>
      </x:c>
      <x:c r="H66" s="70" t="n">
        <x:f>ROUND(($D66+$E66+$F66)*(1+50%)*$G66,0)</x:f>
        <x:v>410</x:v>
      </x:c>
      <x:c r="I66" s="70" t="n">
        <x:f>ROUND(($D66+$E66+$F66)*(1+75%)*$G66,0)</x:f>
        <x:v>478</x:v>
      </x:c>
      <x:c r="J66" s="70" t="n">
        <x:f>ROUND(($D66+$E66+$F66)*(1+100%)*$G66,0)</x:f>
        <x:v>546</x:v>
      </x:c>
      <x:c r="K66" s="70" t="n">
        <x:f>MIN($B$9,MAX($B$8,CEILING(J66,10)))</x:f>
        <x:v>600</x:v>
      </x:c>
      <x:c r="L66" s="70" t="str">
        <x:f>IF(AND(K66&gt;=$B$8,K66&lt;=$B$9),"目标内","需复核")</x:f>
        <x:v>目标内</x:v>
      </x:c>
      <x:c r="M66" s="70" t="n">
        <x:f>K66-C66</x:f>
        <x:v>-470</x:v>
      </x:c>
      <x:c r="N66" s="72" t="str">
        <x:v>=DISPIMG("ID_800B0829728645F4A30D7E19B4D91E92",1)</x:v>
      </x:c>
      <x:c r="O66" s="58"/>
      <x:c r="P66" s="58"/>
      <x:c r="Q66" s="58"/>
      <x:c r="R66" s="58"/>
      <x:c r="S66" s="58"/>
      <x:c r="T66" s="58"/>
      <x:c r="U66" s="58"/>
      <x:c r="V66" s="58"/>
      <x:c r="W66" s="58"/>
      <x:c r="X66" s="58"/>
      <x:c r="Y66" s="58"/>
      <x:c r="Z66" s="58"/>
    </x:row>
    <x:row r="67">
      <x:c r="A67" s="68" t="str">
        <x:v>BB57</x:v>
      </x:c>
      <x:c r="B67" s="69" t="str">
        <x:v>圆粉戒指</x:v>
      </x:c>
      <x:c r="C67" s="70" t="n">
        <x:v>1205</x:v>
      </x:c>
      <x:c r="D67" s="71" t="n">
        <x:v>138.575</x:v>
      </x:c>
      <x:c r="E67" s="70" t="n">
        <x:f>$B$4</x:f>
        <x:v>120</x:v>
      </x:c>
      <x:c r="F67" s="70" t="n">
        <x:f>$B$5</x:f>
        <x:v>30</x:v>
      </x:c>
      <x:c r="G67" s="70" t="n">
        <x:f>$B$6</x:f>
        <x:v>1</x:v>
      </x:c>
      <x:c r="H67" s="70" t="n">
        <x:f>ROUND(($D67+$E67+$F67)*(1+50%)*$G67,0)</x:f>
        <x:v>433</x:v>
      </x:c>
      <x:c r="I67" s="70" t="n">
        <x:f>ROUND(($D67+$E67+$F67)*(1+75%)*$G67,0)</x:f>
        <x:v>505</x:v>
      </x:c>
      <x:c r="J67" s="70" t="n">
        <x:f>ROUND(($D67+$E67+$F67)*(1+100%)*$G67,0)</x:f>
        <x:v>577</x:v>
      </x:c>
      <x:c r="K67" s="70" t="n">
        <x:f>MIN($B$9,MAX($B$8,CEILING(J67,10)))</x:f>
        <x:v>600</x:v>
      </x:c>
      <x:c r="L67" s="70" t="str">
        <x:f>IF(AND(K67&gt;=$B$8,K67&lt;=$B$9),"目标内","需复核")</x:f>
        <x:v>目标内</x:v>
      </x:c>
      <x:c r="M67" s="70" t="n">
        <x:f>K67-C67</x:f>
        <x:v>-605</x:v>
      </x:c>
      <x:c r="N67" s="72" t="str">
        <x:v>=DISPIMG("ID_BB3CCFFF60804FAF93BE10E899B99A57",1)</x:v>
      </x:c>
      <x:c r="O67" s="58"/>
      <x:c r="P67" s="58"/>
      <x:c r="Q67" s="58"/>
      <x:c r="R67" s="58"/>
      <x:c r="S67" s="58"/>
      <x:c r="T67" s="58"/>
      <x:c r="U67" s="58"/>
      <x:c r="V67" s="58"/>
      <x:c r="W67" s="58"/>
      <x:c r="X67" s="58"/>
      <x:c r="Y67" s="58"/>
      <x:c r="Z67" s="58"/>
    </x:row>
    <x:row r="68">
      <x:c r="A68" s="68" t="str">
        <x:v>BB58</x:v>
      </x:c>
      <x:c r="B68" s="69" t="str">
        <x:v>方粉戒指</x:v>
      </x:c>
      <x:c r="C68" s="70" t="n">
        <x:v>1640</x:v>
      </x:c>
      <x:c r="D68" s="71" t="n">
        <x:v>188.6</x:v>
      </x:c>
      <x:c r="E68" s="70" t="n">
        <x:f>$B$4</x:f>
        <x:v>120</x:v>
      </x:c>
      <x:c r="F68" s="70" t="n">
        <x:f>$B$5</x:f>
        <x:v>30</x:v>
      </x:c>
      <x:c r="G68" s="70" t="n">
        <x:f>$B$6</x:f>
        <x:v>1</x:v>
      </x:c>
      <x:c r="H68" s="70" t="n">
        <x:f>ROUND(($D68+$E68+$F68)*(1+50%)*$G68,0)</x:f>
        <x:v>508</x:v>
      </x:c>
      <x:c r="I68" s="70" t="n">
        <x:f>ROUND(($D68+$E68+$F68)*(1+75%)*$G68,0)</x:f>
        <x:v>593</x:v>
      </x:c>
      <x:c r="J68" s="70" t="n">
        <x:f>ROUND(($D68+$E68+$F68)*(1+100%)*$G68,0)</x:f>
        <x:v>677</x:v>
      </x:c>
      <x:c r="K68" s="70" t="n">
        <x:f>MIN($B$9,MAX($B$8,CEILING(J68,10)))</x:f>
        <x:v>680</x:v>
      </x:c>
      <x:c r="L68" s="70" t="str">
        <x:f>IF(AND(K68&gt;=$B$8,K68&lt;=$B$9),"目标内","需复核")</x:f>
        <x:v>目标内</x:v>
      </x:c>
      <x:c r="M68" s="70" t="n">
        <x:f>K68-C68</x:f>
        <x:v>-960</x:v>
      </x:c>
      <x:c r="N68" s="72" t="str">
        <x:v>=DISPIMG("ID_90D774ABABAF4AA9A5E19F1C2CF67388",1)</x:v>
      </x:c>
      <x:c r="O68" s="58"/>
      <x:c r="P68" s="58"/>
      <x:c r="Q68" s="58"/>
      <x:c r="R68" s="58"/>
      <x:c r="S68" s="58"/>
      <x:c r="T68" s="58"/>
      <x:c r="U68" s="58"/>
      <x:c r="V68" s="58"/>
      <x:c r="W68" s="58"/>
      <x:c r="X68" s="58"/>
      <x:c r="Y68" s="58"/>
      <x:c r="Z68" s="58"/>
    </x:row>
    <x:row r="69">
      <x:c r="A69" s="68" t="str">
        <x:v>BB59</x:v>
      </x:c>
      <x:c r="B69" s="69" t="str">
        <x:v>方粉耳钉</x:v>
      </x:c>
      <x:c r="C69" s="70" t="n">
        <x:v>1455</x:v>
      </x:c>
      <x:c r="D69" s="71" t="n">
        <x:v>167.325</x:v>
      </x:c>
      <x:c r="E69" s="70" t="n">
        <x:f>$B$4</x:f>
        <x:v>120</x:v>
      </x:c>
      <x:c r="F69" s="70" t="n">
        <x:f>$B$5</x:f>
        <x:v>30</x:v>
      </x:c>
      <x:c r="G69" s="70" t="n">
        <x:f>$B$6</x:f>
        <x:v>1</x:v>
      </x:c>
      <x:c r="H69" s="70" t="n">
        <x:f>ROUND(($D69+$E69+$F69)*(1+50%)*$G69,0)</x:f>
        <x:v>476</x:v>
      </x:c>
      <x:c r="I69" s="70" t="n">
        <x:f>ROUND(($D69+$E69+$F69)*(1+75%)*$G69,0)</x:f>
        <x:v>555</x:v>
      </x:c>
      <x:c r="J69" s="70" t="n">
        <x:f>ROUND(($D69+$E69+$F69)*(1+100%)*$G69,0)</x:f>
        <x:v>635</x:v>
      </x:c>
      <x:c r="K69" s="70" t="n">
        <x:f>MIN($B$9,MAX($B$8,CEILING(J69,10)))</x:f>
        <x:v>640</x:v>
      </x:c>
      <x:c r="L69" s="70" t="str">
        <x:f>IF(AND(K69&gt;=$B$8,K69&lt;=$B$9),"目标内","需复核")</x:f>
        <x:v>目标内</x:v>
      </x:c>
      <x:c r="M69" s="70" t="n">
        <x:f>K69-C69</x:f>
        <x:v>-815</x:v>
      </x:c>
      <x:c r="N69" s="72" t="str">
        <x:v>=DISPIMG("ID_01A96DE5FCF745CFBD176825632B4A3F",1)</x:v>
      </x:c>
      <x:c r="O69" s="58"/>
      <x:c r="P69" s="58"/>
      <x:c r="Q69" s="58"/>
      <x:c r="R69" s="58"/>
      <x:c r="S69" s="58"/>
      <x:c r="T69" s="58"/>
      <x:c r="U69" s="58"/>
      <x:c r="V69" s="58"/>
      <x:c r="W69" s="58"/>
      <x:c r="X69" s="58"/>
      <x:c r="Y69" s="58"/>
      <x:c r="Z69" s="58"/>
    </x:row>
    <x:row r="70">
      <x:c r="A70" s="68" t="str">
        <x:v>BB60</x:v>
      </x:c>
      <x:c r="B70" s="69" t="str">
        <x:v>圆粉项链</x:v>
      </x:c>
      <x:c r="C70" s="70" t="n">
        <x:v>1110</x:v>
      </x:c>
      <x:c r="D70" s="71" t="n">
        <x:v>127.65</x:v>
      </x:c>
      <x:c r="E70" s="70" t="n">
        <x:f>$B$4</x:f>
        <x:v>120</x:v>
      </x:c>
      <x:c r="F70" s="70" t="n">
        <x:f>$B$5</x:f>
        <x:v>30</x:v>
      </x:c>
      <x:c r="G70" s="70" t="n">
        <x:f>$B$6</x:f>
        <x:v>1</x:v>
      </x:c>
      <x:c r="H70" s="70" t="n">
        <x:f>ROUND(($D70+$E70+$F70)*(1+50%)*$G70,0)</x:f>
        <x:v>416</x:v>
      </x:c>
      <x:c r="I70" s="70" t="n">
        <x:f>ROUND(($D70+$E70+$F70)*(1+75%)*$G70,0)</x:f>
        <x:v>486</x:v>
      </x:c>
      <x:c r="J70" s="70" t="n">
        <x:f>ROUND(($D70+$E70+$F70)*(1+100%)*$G70,0)</x:f>
        <x:v>555</x:v>
      </x:c>
      <x:c r="K70" s="70" t="n">
        <x:f>MIN($B$9,MAX($B$8,CEILING(J70,10)))</x:f>
        <x:v>600</x:v>
      </x:c>
      <x:c r="L70" s="70" t="str">
        <x:f>IF(AND(K70&gt;=$B$8,K70&lt;=$B$9),"目标内","需复核")</x:f>
        <x:v>目标内</x:v>
      </x:c>
      <x:c r="M70" s="70" t="n">
        <x:f>K70-C70</x:f>
        <x:v>-510</x:v>
      </x:c>
      <x:c r="N70" s="72" t="str">
        <x:v>=DISPIMG("ID_897786F25C5847B79E103798DE37A882",1)</x:v>
      </x:c>
      <x:c r="O70" s="58"/>
      <x:c r="P70" s="58"/>
      <x:c r="Q70" s="58"/>
      <x:c r="R70" s="58"/>
      <x:c r="S70" s="58"/>
      <x:c r="T70" s="58"/>
      <x:c r="U70" s="58"/>
      <x:c r="V70" s="58"/>
      <x:c r="W70" s="58"/>
      <x:c r="X70" s="58"/>
      <x:c r="Y70" s="58"/>
      <x:c r="Z70" s="58"/>
    </x:row>
    <x:row r="71">
      <x:c r="A71" s="68" t="str">
        <x:v>BB61</x:v>
      </x:c>
      <x:c r="B71" s="69" t="str">
        <x:v>方粉项链</x:v>
      </x:c>
      <x:c r="C71" s="70" t="n">
        <x:v>1245</x:v>
      </x:c>
      <x:c r="D71" s="71" t="n">
        <x:v>143.175</x:v>
      </x:c>
      <x:c r="E71" s="70" t="n">
        <x:f>$B$4</x:f>
        <x:v>120</x:v>
      </x:c>
      <x:c r="F71" s="70" t="n">
        <x:f>$B$5</x:f>
        <x:v>30</x:v>
      </x:c>
      <x:c r="G71" s="70" t="n">
        <x:f>$B$6</x:f>
        <x:v>1</x:v>
      </x:c>
      <x:c r="H71" s="70" t="n">
        <x:f>ROUND(($D71+$E71+$F71)*(1+50%)*$G71,0)</x:f>
        <x:v>440</x:v>
      </x:c>
      <x:c r="I71" s="70" t="n">
        <x:f>ROUND(($D71+$E71+$F71)*(1+75%)*$G71,0)</x:f>
        <x:v>513</x:v>
      </x:c>
      <x:c r="J71" s="70" t="n">
        <x:f>ROUND(($D71+$E71+$F71)*(1+100%)*$G71,0)</x:f>
        <x:v>586</x:v>
      </x:c>
      <x:c r="K71" s="70" t="n">
        <x:f>MIN($B$9,MAX($B$8,CEILING(J71,10)))</x:f>
        <x:v>600</x:v>
      </x:c>
      <x:c r="L71" s="70" t="str">
        <x:f>IF(AND(K71&gt;=$B$8,K71&lt;=$B$9),"目标内","需复核")</x:f>
        <x:v>目标内</x:v>
      </x:c>
      <x:c r="M71" s="70" t="n">
        <x:f>K71-C71</x:f>
        <x:v>-645</x:v>
      </x:c>
      <x:c r="N71" s="72" t="str">
        <x:v>=DISPIMG("ID_F466C2C7B19145BB9F71395B72C271F2",1)</x:v>
      </x:c>
      <x:c r="O71" s="58"/>
      <x:c r="P71" s="58"/>
      <x:c r="Q71" s="58"/>
      <x:c r="R71" s="58"/>
      <x:c r="S71" s="58"/>
      <x:c r="T71" s="58"/>
      <x:c r="U71" s="58"/>
      <x:c r="V71" s="58"/>
      <x:c r="W71" s="58"/>
      <x:c r="X71" s="58"/>
      <x:c r="Y71" s="58"/>
      <x:c r="Z71" s="58"/>
    </x:row>
    <x:row r="72">
      <x:c r="A72" s="68" t="str">
        <x:v>BB62</x:v>
      </x:c>
      <x:c r="B72" s="69" t="str">
        <x:v>方粉戒指</x:v>
      </x:c>
      <x:c r="C72" s="70" t="n">
        <x:v>1273</x:v>
      </x:c>
      <x:c r="D72" s="71" t="n">
        <x:v>146.395</x:v>
      </x:c>
      <x:c r="E72" s="70" t="n">
        <x:f>$B$4</x:f>
        <x:v>120</x:v>
      </x:c>
      <x:c r="F72" s="70" t="n">
        <x:f>$B$5</x:f>
        <x:v>30</x:v>
      </x:c>
      <x:c r="G72" s="70" t="n">
        <x:f>$B$6</x:f>
        <x:v>1</x:v>
      </x:c>
      <x:c r="H72" s="70" t="n">
        <x:f>ROUND(($D72+$E72+$F72)*(1+50%)*$G72,0)</x:f>
        <x:v>445</x:v>
      </x:c>
      <x:c r="I72" s="70" t="n">
        <x:f>ROUND(($D72+$E72+$F72)*(1+75%)*$G72,0)</x:f>
        <x:v>519</x:v>
      </x:c>
      <x:c r="J72" s="70" t="n">
        <x:f>ROUND(($D72+$E72+$F72)*(1+100%)*$G72,0)</x:f>
        <x:v>593</x:v>
      </x:c>
      <x:c r="K72" s="70" t="n">
        <x:f>MIN($B$9,MAX($B$8,CEILING(J72,10)))</x:f>
        <x:v>600</x:v>
      </x:c>
      <x:c r="L72" s="70" t="str">
        <x:f>IF(AND(K72&gt;=$B$8,K72&lt;=$B$9),"目标内","需复核")</x:f>
        <x:v>目标内</x:v>
      </x:c>
      <x:c r="M72" s="70" t="n">
        <x:f>K72-C72</x:f>
        <x:v>-673</x:v>
      </x:c>
      <x:c r="N72" s="72" t="str">
        <x:v>=DISPIMG("ID_8D9C8376730A434AAE162470B09E5863",1)</x:v>
      </x:c>
      <x:c r="O72" s="58"/>
      <x:c r="P72" s="58"/>
      <x:c r="Q72" s="58"/>
      <x:c r="R72" s="58"/>
      <x:c r="S72" s="58"/>
      <x:c r="T72" s="58"/>
      <x:c r="U72" s="58"/>
      <x:c r="V72" s="58"/>
      <x:c r="W72" s="58"/>
      <x:c r="X72" s="58"/>
      <x:c r="Y72" s="58"/>
      <x:c r="Z72" s="58"/>
    </x:row>
    <x:row r="73">
      <x:c r="A73" s="68" t="str">
        <x:v>BB63</x:v>
      </x:c>
      <x:c r="B73" s="69" t="str">
        <x:v>圆黄戒指</x:v>
      </x:c>
      <x:c r="C73" s="70" t="n">
        <x:v>1255</x:v>
      </x:c>
      <x:c r="D73" s="71" t="n">
        <x:v>144.325</x:v>
      </x:c>
      <x:c r="E73" s="70" t="n">
        <x:f>$B$4</x:f>
        <x:v>120</x:v>
      </x:c>
      <x:c r="F73" s="70" t="n">
        <x:f>$B$5</x:f>
        <x:v>30</x:v>
      </x:c>
      <x:c r="G73" s="70" t="n">
        <x:f>$B$6</x:f>
        <x:v>1</x:v>
      </x:c>
      <x:c r="H73" s="70" t="n">
        <x:f>ROUND(($D73+$E73+$F73)*(1+50%)*$G73,0)</x:f>
        <x:v>441</x:v>
      </x:c>
      <x:c r="I73" s="70" t="n">
        <x:f>ROUND(($D73+$E73+$F73)*(1+75%)*$G73,0)</x:f>
        <x:v>515</x:v>
      </x:c>
      <x:c r="J73" s="70" t="n">
        <x:f>ROUND(($D73+$E73+$F73)*(1+100%)*$G73,0)</x:f>
        <x:v>589</x:v>
      </x:c>
      <x:c r="K73" s="70" t="n">
        <x:f>MIN($B$9,MAX($B$8,CEILING(J73,10)))</x:f>
        <x:v>600</x:v>
      </x:c>
      <x:c r="L73" s="70" t="str">
        <x:f>IF(AND(K73&gt;=$B$8,K73&lt;=$B$9),"目标内","需复核")</x:f>
        <x:v>目标内</x:v>
      </x:c>
      <x:c r="M73" s="70" t="n">
        <x:f>K73-C73</x:f>
        <x:v>-655</x:v>
      </x:c>
      <x:c r="N73" s="72" t="str">
        <x:v>=DISPIMG("ID_7AC7BBB8A6304254853D1BB6E7366DFE",1)</x:v>
      </x:c>
      <x:c r="O73" s="58"/>
      <x:c r="P73" s="58"/>
      <x:c r="Q73" s="58"/>
      <x:c r="R73" s="58"/>
      <x:c r="S73" s="58"/>
      <x:c r="T73" s="58"/>
      <x:c r="U73" s="58"/>
      <x:c r="V73" s="58"/>
      <x:c r="W73" s="58"/>
      <x:c r="X73" s="58"/>
      <x:c r="Y73" s="58"/>
      <x:c r="Z73" s="58"/>
    </x:row>
    <x:row r="74">
      <x:c r="A74" s="68" t="str">
        <x:v>BB64</x:v>
      </x:c>
      <x:c r="B74" s="69" t="str">
        <x:v>圆蓝耳钉</x:v>
      </x:c>
      <x:c r="C74" s="70" t="n">
        <x:v>2030</x:v>
      </x:c>
      <x:c r="D74" s="71" t="n">
        <x:v>233.45</x:v>
      </x:c>
      <x:c r="E74" s="70" t="n">
        <x:f>$B$4</x:f>
        <x:v>120</x:v>
      </x:c>
      <x:c r="F74" s="70" t="n">
        <x:f>$B$5</x:f>
        <x:v>30</x:v>
      </x:c>
      <x:c r="G74" s="70" t="n">
        <x:f>$B$6</x:f>
        <x:v>1</x:v>
      </x:c>
      <x:c r="H74" s="70" t="n">
        <x:f>ROUND(($D74+$E74+$F74)*(1+50%)*$G74,0)</x:f>
        <x:v>575</x:v>
      </x:c>
      <x:c r="I74" s="70" t="n">
        <x:f>ROUND(($D74+$E74+$F74)*(1+75%)*$G74,0)</x:f>
        <x:v>671</x:v>
      </x:c>
      <x:c r="J74" s="70" t="n">
        <x:f>ROUND(($D74+$E74+$F74)*(1+100%)*$G74,0)</x:f>
        <x:v>767</x:v>
      </x:c>
      <x:c r="K74" s="70" t="n">
        <x:f>MIN($B$9,MAX($B$8,CEILING(J74,10)))</x:f>
        <x:v>770</x:v>
      </x:c>
      <x:c r="L74" s="70" t="str">
        <x:f>IF(AND(K74&gt;=$B$8,K74&lt;=$B$9),"目标内","需复核")</x:f>
        <x:v>目标内</x:v>
      </x:c>
      <x:c r="M74" s="70" t="n">
        <x:f>K74-C74</x:f>
        <x:v>-1260</x:v>
      </x:c>
      <x:c r="N74" s="72" t="str">
        <x:v>=DISPIMG("ID_41245E3B56394136903093D3B1A96FBA",1)</x:v>
      </x:c>
      <x:c r="O74" s="58"/>
      <x:c r="P74" s="58"/>
      <x:c r="Q74" s="58"/>
      <x:c r="R74" s="58"/>
      <x:c r="S74" s="58"/>
      <x:c r="T74" s="58"/>
      <x:c r="U74" s="58"/>
      <x:c r="V74" s="58"/>
      <x:c r="W74" s="58"/>
      <x:c r="X74" s="58"/>
      <x:c r="Y74" s="58"/>
      <x:c r="Z74" s="58"/>
    </x:row>
    <x:row r="75">
      <x:c r="A75" s="68" t="str">
        <x:v>BB65</x:v>
      </x:c>
      <x:c r="B75" s="69" t="str">
        <x:v>碎钻手链</x:v>
      </x:c>
      <x:c r="C75" s="70" t="n">
        <x:v>945</x:v>
      </x:c>
      <x:c r="D75" s="71" t="n">
        <x:v>108.675</x:v>
      </x:c>
      <x:c r="E75" s="70" t="n">
        <x:f>$B$4</x:f>
        <x:v>120</x:v>
      </x:c>
      <x:c r="F75" s="70" t="n">
        <x:f>$B$5</x:f>
        <x:v>30</x:v>
      </x:c>
      <x:c r="G75" s="70" t="n">
        <x:f>$B$6</x:f>
        <x:v>1</x:v>
      </x:c>
      <x:c r="H75" s="70" t="n">
        <x:f>ROUND(($D75+$E75+$F75)*(1+50%)*$G75,0)</x:f>
        <x:v>388</x:v>
      </x:c>
      <x:c r="I75" s="70" t="n">
        <x:f>ROUND(($D75+$E75+$F75)*(1+75%)*$G75,0)</x:f>
        <x:v>453</x:v>
      </x:c>
      <x:c r="J75" s="70" t="n">
        <x:f>ROUND(($D75+$E75+$F75)*(1+100%)*$G75,0)</x:f>
        <x:v>517</x:v>
      </x:c>
      <x:c r="K75" s="70" t="n">
        <x:f>MIN($B$9,MAX($B$8,CEILING(J75,10)))</x:f>
        <x:v>600</x:v>
      </x:c>
      <x:c r="L75" s="70" t="str">
        <x:f>IF(AND(K75&gt;=$B$8,K75&lt;=$B$9),"目标内","需复核")</x:f>
        <x:v>目标内</x:v>
      </x:c>
      <x:c r="M75" s="70" t="n">
        <x:f>K75-C75</x:f>
        <x:v>-345</x:v>
      </x:c>
      <x:c r="N75" s="72" t="str">
        <x:v>=DISPIMG("ID_64099746DEAD4999A5A270A6F60FFC69",1)</x:v>
      </x:c>
      <x:c r="O75" s="58"/>
      <x:c r="P75" s="58"/>
      <x:c r="Q75" s="58"/>
      <x:c r="R75" s="58"/>
      <x:c r="S75" s="58"/>
      <x:c r="T75" s="58"/>
      <x:c r="U75" s="58"/>
      <x:c r="V75" s="58"/>
      <x:c r="W75" s="58"/>
      <x:c r="X75" s="58"/>
      <x:c r="Y75" s="58"/>
      <x:c r="Z75" s="58"/>
    </x:row>
    <x:row r="76">
      <x:c r="A76" s="68" t="str">
        <x:v>BB66</x:v>
      </x:c>
      <x:c r="B76" s="69" t="str">
        <x:v>圆蓝戒指</x:v>
      </x:c>
      <x:c r="C76" s="70" t="n">
        <x:v>1380</x:v>
      </x:c>
      <x:c r="D76" s="71" t="n">
        <x:v>158.7</x:v>
      </x:c>
      <x:c r="E76" s="70" t="n">
        <x:f>$B$4</x:f>
        <x:v>120</x:v>
      </x:c>
      <x:c r="F76" s="70" t="n">
        <x:f>$B$5</x:f>
        <x:v>30</x:v>
      </x:c>
      <x:c r="G76" s="70" t="n">
        <x:f>$B$6</x:f>
        <x:v>1</x:v>
      </x:c>
      <x:c r="H76" s="70" t="n">
        <x:f>ROUND(($D76+$E76+$F76)*(1+50%)*$G76,0)</x:f>
        <x:v>463</x:v>
      </x:c>
      <x:c r="I76" s="70" t="n">
        <x:f>ROUND(($D76+$E76+$F76)*(1+75%)*$G76,0)</x:f>
        <x:v>540</x:v>
      </x:c>
      <x:c r="J76" s="70" t="n">
        <x:f>ROUND(($D76+$E76+$F76)*(1+100%)*$G76,0)</x:f>
        <x:v>617</x:v>
      </x:c>
      <x:c r="K76" s="70" t="n">
        <x:f>MIN($B$9,MAX($B$8,CEILING(J76,10)))</x:f>
        <x:v>620</x:v>
      </x:c>
      <x:c r="L76" s="70" t="str">
        <x:f>IF(AND(K76&gt;=$B$8,K76&lt;=$B$9),"目标内","需复核")</x:f>
        <x:v>目标内</x:v>
      </x:c>
      <x:c r="M76" s="70" t="n">
        <x:f>K76-C76</x:f>
        <x:v>-760</x:v>
      </x:c>
      <x:c r="N76" s="72" t="str">
        <x:v>=DISPIMG("ID_2AA21CF62EA54B3E921DCAA5D6324754",1)</x:v>
      </x:c>
      <x:c r="O76" s="58"/>
      <x:c r="P76" s="58"/>
      <x:c r="Q76" s="58"/>
      <x:c r="R76" s="58"/>
      <x:c r="S76" s="58"/>
      <x:c r="T76" s="58"/>
      <x:c r="U76" s="58"/>
      <x:c r="V76" s="58"/>
      <x:c r="W76" s="58"/>
      <x:c r="X76" s="58"/>
      <x:c r="Y76" s="58"/>
      <x:c r="Z76" s="58"/>
    </x:row>
    <x:row r="77">
      <x:c r="A77" s="68" t="str">
        <x:v>BB67</x:v>
      </x:c>
      <x:c r="B77" s="69" t="str">
        <x:v>碎钻耳环</x:v>
      </x:c>
      <x:c r="C77" s="70" t="n">
        <x:v>890</x:v>
      </x:c>
      <x:c r="D77" s="71" t="n">
        <x:v>102.35</x:v>
      </x:c>
      <x:c r="E77" s="70" t="n">
        <x:f>$B$4</x:f>
        <x:v>120</x:v>
      </x:c>
      <x:c r="F77" s="70" t="n">
        <x:f>$B$5</x:f>
        <x:v>30</x:v>
      </x:c>
      <x:c r="G77" s="70" t="n">
        <x:f>$B$6</x:f>
        <x:v>1</x:v>
      </x:c>
      <x:c r="H77" s="70" t="n">
        <x:f>ROUND(($D77+$E77+$F77)*(1+50%)*$G77,0)</x:f>
        <x:v>379</x:v>
      </x:c>
      <x:c r="I77" s="70" t="n">
        <x:f>ROUND(($D77+$E77+$F77)*(1+75%)*$G77,0)</x:f>
        <x:v>442</x:v>
      </x:c>
      <x:c r="J77" s="70" t="n">
        <x:f>ROUND(($D77+$E77+$F77)*(1+100%)*$G77,0)</x:f>
        <x:v>505</x:v>
      </x:c>
      <x:c r="K77" s="70" t="n">
        <x:f>MIN($B$9,MAX($B$8,CEILING(J77,10)))</x:f>
        <x:v>600</x:v>
      </x:c>
      <x:c r="L77" s="70" t="str">
        <x:f>IF(AND(K77&gt;=$B$8,K77&lt;=$B$9),"目标内","需复核")</x:f>
        <x:v>目标内</x:v>
      </x:c>
      <x:c r="M77" s="70" t="n">
        <x:f>K77-C77</x:f>
        <x:v>-290</x:v>
      </x:c>
      <x:c r="N77" s="72" t="str">
        <x:v>=DISPIMG("ID_69C9F2C647ED4512B73D457C8B2D7DA3",1)</x:v>
      </x:c>
      <x:c r="O77" s="58"/>
      <x:c r="P77" s="58"/>
      <x:c r="Q77" s="58"/>
      <x:c r="R77" s="58"/>
      <x:c r="S77" s="58"/>
      <x:c r="T77" s="58"/>
      <x:c r="U77" s="58"/>
      <x:c r="V77" s="58"/>
      <x:c r="W77" s="58"/>
      <x:c r="X77" s="58"/>
      <x:c r="Y77" s="58"/>
      <x:c r="Z77" s="58"/>
    </x:row>
    <x:row r="78">
      <x:c r="A78" s="68" t="str">
        <x:v>BB68</x:v>
      </x:c>
      <x:c r="B78" s="69" t="str">
        <x:v>大钻手链</x:v>
      </x:c>
      <x:c r="C78" s="70" t="n">
        <x:v>965</x:v>
      </x:c>
      <x:c r="D78" s="71" t="n">
        <x:v>110.975</x:v>
      </x:c>
      <x:c r="E78" s="70" t="n">
        <x:f>$B$4</x:f>
        <x:v>120</x:v>
      </x:c>
      <x:c r="F78" s="70" t="n">
        <x:f>$B$5</x:f>
        <x:v>30</x:v>
      </x:c>
      <x:c r="G78" s="70" t="n">
        <x:f>$B$6</x:f>
        <x:v>1</x:v>
      </x:c>
      <x:c r="H78" s="70" t="n">
        <x:f>ROUND(($D78+$E78+$F78)*(1+50%)*$G78,0)</x:f>
        <x:v>391</x:v>
      </x:c>
      <x:c r="I78" s="70" t="n">
        <x:f>ROUND(($D78+$E78+$F78)*(1+75%)*$G78,0)</x:f>
        <x:v>457</x:v>
      </x:c>
      <x:c r="J78" s="70" t="n">
        <x:f>ROUND(($D78+$E78+$F78)*(1+100%)*$G78,0)</x:f>
        <x:v>522</x:v>
      </x:c>
      <x:c r="K78" s="70" t="n">
        <x:f>MIN($B$9,MAX($B$8,CEILING(J78,10)))</x:f>
        <x:v>600</x:v>
      </x:c>
      <x:c r="L78" s="70" t="str">
        <x:f>IF(AND(K78&gt;=$B$8,K78&lt;=$B$9),"目标内","需复核")</x:f>
        <x:v>目标内</x:v>
      </x:c>
      <x:c r="M78" s="70" t="n">
        <x:f>K78-C78</x:f>
        <x:v>-365</x:v>
      </x:c>
      <x:c r="N78" s="72" t="str">
        <x:v>=DISPIMG("ID_7D1F2BEE3B0440BBA7F1AE6B3BBCE1B9",1)</x:v>
      </x:c>
      <x:c r="O78" s="58"/>
      <x:c r="P78" s="58"/>
      <x:c r="Q78" s="58"/>
      <x:c r="R78" s="58"/>
      <x:c r="S78" s="58"/>
      <x:c r="T78" s="58"/>
      <x:c r="U78" s="58"/>
      <x:c r="V78" s="58"/>
      <x:c r="W78" s="58"/>
      <x:c r="X78" s="58"/>
      <x:c r="Y78" s="58"/>
      <x:c r="Z78" s="58"/>
    </x:row>
    <x:row r="79">
      <x:c r="A79" s="68" t="str">
        <x:v>BB69</x:v>
      </x:c>
      <x:c r="B79" s="69" t="str">
        <x:v>红钻手链</x:v>
      </x:c>
      <x:c r="C79" s="70" t="n">
        <x:v>3600</x:v>
      </x:c>
      <x:c r="D79" s="71" t="n">
        <x:v>414</x:v>
      </x:c>
      <x:c r="E79" s="70" t="n">
        <x:f>$B$4</x:f>
        <x:v>120</x:v>
      </x:c>
      <x:c r="F79" s="70" t="n">
        <x:f>$B$5</x:f>
        <x:v>30</x:v>
      </x:c>
      <x:c r="G79" s="70" t="n">
        <x:f>$B$6</x:f>
        <x:v>1</x:v>
      </x:c>
      <x:c r="H79" s="70" t="n">
        <x:f>ROUND(($D79+$E79+$F79)*(1+50%)*$G79,0)</x:f>
        <x:v>846</x:v>
      </x:c>
      <x:c r="I79" s="70" t="n">
        <x:f>ROUND(($D79+$E79+$F79)*(1+75%)*$G79,0)</x:f>
        <x:v>987</x:v>
      </x:c>
      <x:c r="J79" s="70" t="n">
        <x:f>ROUND(($D79+$E79+$F79)*(1+100%)*$G79,0)</x:f>
        <x:v>1128</x:v>
      </x:c>
      <x:c r="K79" s="70" t="n">
        <x:f>MIN($B$9,MAX($B$8,CEILING(J79,10)))</x:f>
        <x:v>1130</x:v>
      </x:c>
      <x:c r="L79" s="70" t="str">
        <x:f>IF(AND(K79&gt;=$B$8,K79&lt;=$B$9),"目标内","需复核")</x:f>
        <x:v>目标内</x:v>
      </x:c>
      <x:c r="M79" s="70" t="n">
        <x:f>K79-C79</x:f>
        <x:v>-2470</x:v>
      </x:c>
      <x:c r="N79" s="72" t="str">
        <x:v>=DISPIMG("ID_0BD78C866B434B7E800D2717D03C3EE1",1)</x:v>
      </x:c>
      <x:c r="O79" s="58"/>
      <x:c r="P79" s="58"/>
      <x:c r="Q79" s="58"/>
      <x:c r="R79" s="58"/>
      <x:c r="S79" s="58"/>
      <x:c r="T79" s="58"/>
      <x:c r="U79" s="58"/>
      <x:c r="V79" s="58"/>
      <x:c r="W79" s="58"/>
      <x:c r="X79" s="58"/>
      <x:c r="Y79" s="58"/>
      <x:c r="Z79" s="58"/>
    </x:row>
    <x:row r="80">
      <x:c r="A80" s="68" t="str">
        <x:v>BB70</x:v>
      </x:c>
      <x:c r="B80" s="69" t="str">
        <x:v>蓝钻手链</x:v>
      </x:c>
      <x:c r="C80" s="70" t="n">
        <x:v>3600</x:v>
      </x:c>
      <x:c r="D80" s="71" t="n">
        <x:v>414</x:v>
      </x:c>
      <x:c r="E80" s="70" t="n">
        <x:f>$B$4</x:f>
        <x:v>120</x:v>
      </x:c>
      <x:c r="F80" s="70" t="n">
        <x:f>$B$5</x:f>
        <x:v>30</x:v>
      </x:c>
      <x:c r="G80" s="70" t="n">
        <x:f>$B$6</x:f>
        <x:v>1</x:v>
      </x:c>
      <x:c r="H80" s="70" t="n">
        <x:f>ROUND(($D80+$E80+$F80)*(1+50%)*$G80,0)</x:f>
        <x:v>846</x:v>
      </x:c>
      <x:c r="I80" s="70" t="n">
        <x:f>ROUND(($D80+$E80+$F80)*(1+75%)*$G80,0)</x:f>
        <x:v>987</x:v>
      </x:c>
      <x:c r="J80" s="70" t="n">
        <x:f>ROUND(($D80+$E80+$F80)*(1+100%)*$G80,0)</x:f>
        <x:v>1128</x:v>
      </x:c>
      <x:c r="K80" s="70" t="n">
        <x:f>MIN($B$9,MAX($B$8,CEILING(J80,10)))</x:f>
        <x:v>1130</x:v>
      </x:c>
      <x:c r="L80" s="70" t="str">
        <x:f>IF(AND(K80&gt;=$B$8,K80&lt;=$B$9),"目标内","需复核")</x:f>
        <x:v>目标内</x:v>
      </x:c>
      <x:c r="M80" s="70" t="n">
        <x:f>K80-C80</x:f>
        <x:v>-2470</x:v>
      </x:c>
      <x:c r="N80" s="72" t="str">
        <x:v>=DISPIMG("ID_14B69789212C4781933775C747D5DB77",1)</x:v>
      </x:c>
      <x:c r="O80" s="58"/>
      <x:c r="P80" s="58"/>
      <x:c r="Q80" s="58"/>
      <x:c r="R80" s="58"/>
      <x:c r="S80" s="58"/>
      <x:c r="T80" s="58"/>
      <x:c r="U80" s="58"/>
      <x:c r="V80" s="58"/>
      <x:c r="W80" s="58"/>
      <x:c r="X80" s="58"/>
      <x:c r="Y80" s="58"/>
      <x:c r="Z80" s="58"/>
    </x:row>
    <x:row r="81">
      <x:c r="A81" s="68" t="str">
        <x:v>BB71</x:v>
      </x:c>
      <x:c r="B81" s="69" t="str">
        <x:v>绿钻手链</x:v>
      </x:c>
      <x:c r="C81" s="70" t="n">
        <x:v>3600</x:v>
      </x:c>
      <x:c r="D81" s="71" t="n">
        <x:v>414</x:v>
      </x:c>
      <x:c r="E81" s="70" t="n">
        <x:f>$B$4</x:f>
        <x:v>120</x:v>
      </x:c>
      <x:c r="F81" s="70" t="n">
        <x:f>$B$5</x:f>
        <x:v>30</x:v>
      </x:c>
      <x:c r="G81" s="70" t="n">
        <x:f>$B$6</x:f>
        <x:v>1</x:v>
      </x:c>
      <x:c r="H81" s="70" t="n">
        <x:f>ROUND(($D81+$E81+$F81)*(1+50%)*$G81,0)</x:f>
        <x:v>846</x:v>
      </x:c>
      <x:c r="I81" s="70" t="n">
        <x:f>ROUND(($D81+$E81+$F81)*(1+75%)*$G81,0)</x:f>
        <x:v>987</x:v>
      </x:c>
      <x:c r="J81" s="70" t="n">
        <x:f>ROUND(($D81+$E81+$F81)*(1+100%)*$G81,0)</x:f>
        <x:v>1128</x:v>
      </x:c>
      <x:c r="K81" s="70" t="n">
        <x:f>MIN($B$9,MAX($B$8,CEILING(J81,10)))</x:f>
        <x:v>1130</x:v>
      </x:c>
      <x:c r="L81" s="70" t="str">
        <x:f>IF(AND(K81&gt;=$B$8,K81&lt;=$B$9),"目标内","需复核")</x:f>
        <x:v>目标内</x:v>
      </x:c>
      <x:c r="M81" s="70" t="n">
        <x:f>K81-C81</x:f>
        <x:v>-2470</x:v>
      </x:c>
      <x:c r="N81" s="72" t="str">
        <x:v>=DISPIMG("ID_FC42C0FDA9F6418783781DF776E1A00B",1)</x:v>
      </x:c>
      <x:c r="O81" s="58"/>
      <x:c r="P81" s="58"/>
      <x:c r="Q81" s="58"/>
      <x:c r="R81" s="58"/>
      <x:c r="S81" s="58"/>
      <x:c r="T81" s="58"/>
      <x:c r="U81" s="58"/>
      <x:c r="V81" s="58"/>
      <x:c r="W81" s="58"/>
      <x:c r="X81" s="58"/>
      <x:c r="Y81" s="58"/>
      <x:c r="Z81" s="58"/>
    </x:row>
    <x:row r="82">
      <x:c r="A82" s="68" t="str">
        <x:v>BB72</x:v>
      </x:c>
      <x:c r="B82" s="69" t="str">
        <x:v>大钻项链</x:v>
      </x:c>
      <x:c r="C82" s="70" t="n">
        <x:v>965</x:v>
      </x:c>
      <x:c r="D82" s="71" t="n">
        <x:v>110.975</x:v>
      </x:c>
      <x:c r="E82" s="70" t="n">
        <x:f>$B$4</x:f>
        <x:v>120</x:v>
      </x:c>
      <x:c r="F82" s="70" t="n">
        <x:f>$B$5</x:f>
        <x:v>30</x:v>
      </x:c>
      <x:c r="G82" s="70" t="n">
        <x:f>$B$6</x:f>
        <x:v>1</x:v>
      </x:c>
      <x:c r="H82" s="70" t="n">
        <x:f>ROUND(($D82+$E82+$F82)*(1+50%)*$G82,0)</x:f>
        <x:v>391</x:v>
      </x:c>
      <x:c r="I82" s="70" t="n">
        <x:f>ROUND(($D82+$E82+$F82)*(1+75%)*$G82,0)</x:f>
        <x:v>457</x:v>
      </x:c>
      <x:c r="J82" s="70" t="n">
        <x:f>ROUND(($D82+$E82+$F82)*(1+100%)*$G82,0)</x:f>
        <x:v>522</x:v>
      </x:c>
      <x:c r="K82" s="70" t="n">
        <x:f>MIN($B$9,MAX($B$8,CEILING(J82,10)))</x:f>
        <x:v>600</x:v>
      </x:c>
      <x:c r="L82" s="70" t="str">
        <x:f>IF(AND(K82&gt;=$B$8,K82&lt;=$B$9),"目标内","需复核")</x:f>
        <x:v>目标内</x:v>
      </x:c>
      <x:c r="M82" s="70" t="n">
        <x:f>K82-C82</x:f>
        <x:v>-365</x:v>
      </x:c>
      <x:c r="N82" s="72" t="str">
        <x:v>=DISPIMG("ID_239274254D424BB9B5B7CB76A372AC75",1)</x:v>
      </x:c>
      <x:c r="O82" s="58"/>
      <x:c r="P82" s="58"/>
      <x:c r="Q82" s="58"/>
      <x:c r="R82" s="58"/>
      <x:c r="S82" s="58"/>
      <x:c r="T82" s="58"/>
      <x:c r="U82" s="58"/>
      <x:c r="V82" s="58"/>
      <x:c r="W82" s="58"/>
      <x:c r="X82" s="58"/>
      <x:c r="Y82" s="58"/>
      <x:c r="Z82" s="58"/>
    </x:row>
    <x:row r="83">
      <x:c r="A83" s="68" t="str">
        <x:v>BB73</x:v>
      </x:c>
      <x:c r="B83" s="69" t="str">
        <x:v>1卡耳钉</x:v>
      </x:c>
      <x:c r="C83" s="70" t="n">
        <x:v>735</x:v>
      </x:c>
      <x:c r="D83" s="71" t="n">
        <x:v>84.525</x:v>
      </x:c>
      <x:c r="E83" s="70" t="n">
        <x:f>$B$4</x:f>
        <x:v>120</x:v>
      </x:c>
      <x:c r="F83" s="70" t="n">
        <x:f>$B$5</x:f>
        <x:v>30</x:v>
      </x:c>
      <x:c r="G83" s="70" t="n">
        <x:f>$B$6</x:f>
        <x:v>1</x:v>
      </x:c>
      <x:c r="H83" s="70" t="n">
        <x:f>ROUND(($D83+$E83+$F83)*(1+50%)*$G83,0)</x:f>
        <x:v>352</x:v>
      </x:c>
      <x:c r="I83" s="70" t="n">
        <x:f>ROUND(($D83+$E83+$F83)*(1+75%)*$G83,0)</x:f>
        <x:v>410</x:v>
      </x:c>
      <x:c r="J83" s="70" t="n">
        <x:f>ROUND(($D83+$E83+$F83)*(1+100%)*$G83,0)</x:f>
        <x:v>469</x:v>
      </x:c>
      <x:c r="K83" s="70" t="n">
        <x:f>MIN($B$9,MAX($B$8,CEILING(J83,10)))</x:f>
        <x:v>600</x:v>
      </x:c>
      <x:c r="L83" s="70" t="str">
        <x:f>IF(AND(K83&gt;=$B$8,K83&lt;=$B$9),"目标内","需复核")</x:f>
        <x:v>目标内</x:v>
      </x:c>
      <x:c r="M83" s="70" t="n">
        <x:f>K83-C83</x:f>
        <x:v>-135</x:v>
      </x:c>
      <x:c r="N83" s="72" t="str">
        <x:v>=DISPIMG("ID_2FF5E4BBC629460D9D822A882F778AB6",1)</x:v>
      </x:c>
      <x:c r="O83" s="58"/>
      <x:c r="P83" s="58"/>
      <x:c r="Q83" s="58"/>
      <x:c r="R83" s="58"/>
      <x:c r="S83" s="58"/>
      <x:c r="T83" s="58"/>
      <x:c r="U83" s="58"/>
      <x:c r="V83" s="58"/>
      <x:c r="W83" s="58"/>
      <x:c r="X83" s="58"/>
      <x:c r="Y83" s="58"/>
      <x:c r="Z83" s="58"/>
    </x:row>
    <x:row r="84">
      <x:c r="A84" s="68" t="str">
        <x:v>BB74</x:v>
      </x:c>
      <x:c r="B84" s="69" t="str">
        <x:v>碎钻项链</x:v>
      </x:c>
      <x:c r="C84" s="70" t="n">
        <x:v>1285</x:v>
      </x:c>
      <x:c r="D84" s="71" t="n">
        <x:v>147.775</x:v>
      </x:c>
      <x:c r="E84" s="70" t="n">
        <x:f>$B$4</x:f>
        <x:v>120</x:v>
      </x:c>
      <x:c r="F84" s="70" t="n">
        <x:f>$B$5</x:f>
        <x:v>30</x:v>
      </x:c>
      <x:c r="G84" s="70" t="n">
        <x:f>$B$6</x:f>
        <x:v>1</x:v>
      </x:c>
      <x:c r="H84" s="70" t="n">
        <x:f>ROUND(($D84+$E84+$F84)*(1+50%)*$G84,0)</x:f>
        <x:v>447</x:v>
      </x:c>
      <x:c r="I84" s="70" t="n">
        <x:f>ROUND(($D84+$E84+$F84)*(1+75%)*$G84,0)</x:f>
        <x:v>521</x:v>
      </x:c>
      <x:c r="J84" s="70" t="n">
        <x:f>ROUND(($D84+$E84+$F84)*(1+100%)*$G84,0)</x:f>
        <x:v>596</x:v>
      </x:c>
      <x:c r="K84" s="70" t="n">
        <x:f>MIN($B$9,MAX($B$8,CEILING(J84,10)))</x:f>
        <x:v>600</x:v>
      </x:c>
      <x:c r="L84" s="70" t="str">
        <x:f>IF(AND(K84&gt;=$B$8,K84&lt;=$B$9),"目标内","需复核")</x:f>
        <x:v>目标内</x:v>
      </x:c>
      <x:c r="M84" s="70" t="n">
        <x:f>K84-C84</x:f>
        <x:v>-685</x:v>
      </x:c>
      <x:c r="N84" s="72" t="str">
        <x:v>=DISPIMG("ID_8C66062718A14FB69941A75A3A7550B8",1)</x:v>
      </x:c>
      <x:c r="O84" s="58"/>
      <x:c r="P84" s="58"/>
      <x:c r="Q84" s="58"/>
      <x:c r="R84" s="58"/>
      <x:c r="S84" s="58"/>
      <x:c r="T84" s="58"/>
      <x:c r="U84" s="58"/>
      <x:c r="V84" s="58"/>
      <x:c r="W84" s="58"/>
      <x:c r="X84" s="58"/>
      <x:c r="Y84" s="58"/>
      <x:c r="Z84" s="58"/>
    </x:row>
    <x:row r="85">
      <x:c r="A85" s="68" t="str">
        <x:v>BB75</x:v>
      </x:c>
      <x:c r="B85" s="69" t="str">
        <x:v>1卡手链</x:v>
      </x:c>
      <x:c r="C85" s="70" t="n">
        <x:v>750</x:v>
      </x:c>
      <x:c r="D85" s="71" t="n">
        <x:v>86.25</x:v>
      </x:c>
      <x:c r="E85" s="70" t="n">
        <x:f>$B$4</x:f>
        <x:v>120</x:v>
      </x:c>
      <x:c r="F85" s="70" t="n">
        <x:f>$B$5</x:f>
        <x:v>30</x:v>
      </x:c>
      <x:c r="G85" s="70" t="n">
        <x:f>$B$6</x:f>
        <x:v>1</x:v>
      </x:c>
      <x:c r="H85" s="70" t="n">
        <x:f>ROUND(($D85+$E85+$F85)*(1+50%)*$G85,0)</x:f>
        <x:v>354</x:v>
      </x:c>
      <x:c r="I85" s="70" t="n">
        <x:f>ROUND(($D85+$E85+$F85)*(1+75%)*$G85,0)</x:f>
        <x:v>413</x:v>
      </x:c>
      <x:c r="J85" s="70" t="n">
        <x:f>ROUND(($D85+$E85+$F85)*(1+100%)*$G85,0)</x:f>
        <x:v>473</x:v>
      </x:c>
      <x:c r="K85" s="70" t="n">
        <x:f>MIN($B$9,MAX($B$8,CEILING(J85,10)))</x:f>
        <x:v>600</x:v>
      </x:c>
      <x:c r="L85" s="70" t="str">
        <x:f>IF(AND(K85&gt;=$B$8,K85&lt;=$B$9),"目标内","需复核")</x:f>
        <x:v>目标内</x:v>
      </x:c>
      <x:c r="M85" s="70" t="n">
        <x:f>K85-C85</x:f>
        <x:v>-150</x:v>
      </x:c>
      <x:c r="N85" s="72" t="str">
        <x:v>=DISPIMG("ID_FBC59B679390459192A26FC01CA9704E",1)</x:v>
      </x:c>
      <x:c r="O85" s="58"/>
      <x:c r="P85" s="58"/>
      <x:c r="Q85" s="58"/>
      <x:c r="R85" s="58"/>
      <x:c r="S85" s="58"/>
      <x:c r="T85" s="58"/>
      <x:c r="U85" s="58"/>
      <x:c r="V85" s="58"/>
      <x:c r="W85" s="58"/>
      <x:c r="X85" s="58"/>
      <x:c r="Y85" s="58"/>
      <x:c r="Z85" s="58"/>
    </x:row>
    <x:row r="86">
      <x:c r="A86" s="68" t="str">
        <x:v>BB76</x:v>
      </x:c>
      <x:c r="B86" s="69" t="str">
        <x:v>2卡戒指</x:v>
      </x:c>
      <x:c r="C86" s="70" t="n">
        <x:v>1205</x:v>
      </x:c>
      <x:c r="D86" s="71" t="n">
        <x:v>138.575</x:v>
      </x:c>
      <x:c r="E86" s="70" t="n">
        <x:f>$B$4</x:f>
        <x:v>120</x:v>
      </x:c>
      <x:c r="F86" s="70" t="n">
        <x:f>$B$5</x:f>
        <x:v>30</x:v>
      </x:c>
      <x:c r="G86" s="70" t="n">
        <x:f>$B$6</x:f>
        <x:v>1</x:v>
      </x:c>
      <x:c r="H86" s="70" t="n">
        <x:f>ROUND(($D86+$E86+$F86)*(1+50%)*$G86,0)</x:f>
        <x:v>433</x:v>
      </x:c>
      <x:c r="I86" s="70" t="n">
        <x:f>ROUND(($D86+$E86+$F86)*(1+75%)*$G86,0)</x:f>
        <x:v>505</x:v>
      </x:c>
      <x:c r="J86" s="70" t="n">
        <x:f>ROUND(($D86+$E86+$F86)*(1+100%)*$G86,0)</x:f>
        <x:v>577</x:v>
      </x:c>
      <x:c r="K86" s="70" t="n">
        <x:f>MIN($B$9,MAX($B$8,CEILING(J86,10)))</x:f>
        <x:v>600</x:v>
      </x:c>
      <x:c r="L86" s="70" t="str">
        <x:f>IF(AND(K86&gt;=$B$8,K86&lt;=$B$9),"目标内","需复核")</x:f>
        <x:v>目标内</x:v>
      </x:c>
      <x:c r="M86" s="70" t="n">
        <x:f>K86-C86</x:f>
        <x:v>-605</x:v>
      </x:c>
      <x:c r="N86" s="72" t="str">
        <x:v>=DISPIMG("ID_ADF31246086C48DA882C3191629F9A51",1)</x:v>
      </x:c>
      <x:c r="O86" s="58"/>
      <x:c r="P86" s="58"/>
      <x:c r="Q86" s="58"/>
      <x:c r="R86" s="58"/>
      <x:c r="S86" s="58"/>
      <x:c r="T86" s="58"/>
      <x:c r="U86" s="58"/>
      <x:c r="V86" s="58"/>
      <x:c r="W86" s="58"/>
      <x:c r="X86" s="58"/>
      <x:c r="Y86" s="58"/>
      <x:c r="Z86" s="58"/>
    </x:row>
    <x:row r="87">
      <x:c r="A87" s="68" t="str">
        <x:v>BB77</x:v>
      </x:c>
      <x:c r="B87" s="69" t="str">
        <x:v>3卡戒指</x:v>
      </x:c>
      <x:c r="C87" s="70" t="n">
        <x:v>1295</x:v>
      </x:c>
      <x:c r="D87" s="71" t="n">
        <x:v>148.925</x:v>
      </x:c>
      <x:c r="E87" s="70" t="n">
        <x:f>$B$4</x:f>
        <x:v>120</x:v>
      </x:c>
      <x:c r="F87" s="70" t="n">
        <x:f>$B$5</x:f>
        <x:v>30</x:v>
      </x:c>
      <x:c r="G87" s="70" t="n">
        <x:f>$B$6</x:f>
        <x:v>1</x:v>
      </x:c>
      <x:c r="H87" s="70" t="n">
        <x:f>ROUND(($D87+$E87+$F87)*(1+50%)*$G87,0)</x:f>
        <x:v>448</x:v>
      </x:c>
      <x:c r="I87" s="70" t="n">
        <x:f>ROUND(($D87+$E87+$F87)*(1+75%)*$G87,0)</x:f>
        <x:v>523</x:v>
      </x:c>
      <x:c r="J87" s="70" t="n">
        <x:f>ROUND(($D87+$E87+$F87)*(1+100%)*$G87,0)</x:f>
        <x:v>598</x:v>
      </x:c>
      <x:c r="K87" s="70" t="n">
        <x:f>MIN($B$9,MAX($B$8,CEILING(J87,10)))</x:f>
        <x:v>600</x:v>
      </x:c>
      <x:c r="L87" s="70" t="str">
        <x:f>IF(AND(K87&gt;=$B$8,K87&lt;=$B$9),"目标内","需复核")</x:f>
        <x:v>目标内</x:v>
      </x:c>
      <x:c r="M87" s="70" t="n">
        <x:f>K87-C87</x:f>
        <x:v>-695</x:v>
      </x:c>
      <x:c r="N87" s="72" t="str">
        <x:v>=DISPIMG("ID_97EC23446F02444B9ED1075D3F8E997C",1)</x:v>
      </x:c>
      <x:c r="O87" s="58"/>
      <x:c r="P87" s="58"/>
      <x:c r="Q87" s="58"/>
      <x:c r="R87" s="58"/>
      <x:c r="S87" s="58"/>
      <x:c r="T87" s="58"/>
      <x:c r="U87" s="58"/>
      <x:c r="V87" s="58"/>
      <x:c r="W87" s="58"/>
      <x:c r="X87" s="58"/>
      <x:c r="Y87" s="58"/>
      <x:c r="Z87" s="58"/>
    </x:row>
    <x:row r="88">
      <x:c r="A88" s="68" t="str">
        <x:v>BB78</x:v>
      </x:c>
      <x:c r="B88" s="69" t="str">
        <x:v>2卡戒指</x:v>
      </x:c>
      <x:c r="C88" s="70" t="n">
        <x:v>1220</x:v>
      </x:c>
      <x:c r="D88" s="71" t="n">
        <x:v>140.3</x:v>
      </x:c>
      <x:c r="E88" s="70" t="n">
        <x:f>$B$4</x:f>
        <x:v>120</x:v>
      </x:c>
      <x:c r="F88" s="70" t="n">
        <x:f>$B$5</x:f>
        <x:v>30</x:v>
      </x:c>
      <x:c r="G88" s="70" t="n">
        <x:f>$B$6</x:f>
        <x:v>1</x:v>
      </x:c>
      <x:c r="H88" s="70" t="n">
        <x:f>ROUND(($D88+$E88+$F88)*(1+50%)*$G88,0)</x:f>
        <x:v>435</x:v>
      </x:c>
      <x:c r="I88" s="70" t="n">
        <x:f>ROUND(($D88+$E88+$F88)*(1+75%)*$G88,0)</x:f>
        <x:v>508</x:v>
      </x:c>
      <x:c r="J88" s="70" t="n">
        <x:f>ROUND(($D88+$E88+$F88)*(1+100%)*$G88,0)</x:f>
        <x:v>581</x:v>
      </x:c>
      <x:c r="K88" s="70" t="n">
        <x:f>MIN($B$9,MAX($B$8,CEILING(J88,10)))</x:f>
        <x:v>600</x:v>
      </x:c>
      <x:c r="L88" s="70" t="str">
        <x:f>IF(AND(K88&gt;=$B$8,K88&lt;=$B$9),"目标内","需复核")</x:f>
        <x:v>目标内</x:v>
      </x:c>
      <x:c r="M88" s="70" t="n">
        <x:f>K88-C88</x:f>
        <x:v>-620</x:v>
      </x:c>
      <x:c r="N88" s="72" t="str">
        <x:v>=DISPIMG("ID_E0F689253F9847A18FBCFA73266FA04B",1)</x:v>
      </x:c>
      <x:c r="O88" s="58"/>
      <x:c r="P88" s="58"/>
      <x:c r="Q88" s="58"/>
      <x:c r="R88" s="58"/>
      <x:c r="S88" s="58"/>
      <x:c r="T88" s="58"/>
      <x:c r="U88" s="58"/>
      <x:c r="V88" s="58"/>
      <x:c r="W88" s="58"/>
      <x:c r="X88" s="58"/>
      <x:c r="Y88" s="58"/>
      <x:c r="Z88" s="58"/>
    </x:row>
    <x:row r="89">
      <x:c r="A89" s="68" t="str">
        <x:v>BB79</x:v>
      </x:c>
      <x:c r="B89" s="69" t="str">
        <x:v>1卡项链</x:v>
      </x:c>
      <x:c r="C89" s="70" t="n">
        <x:v>1136</x:v>
      </x:c>
      <x:c r="D89" s="71" t="n">
        <x:v>130.64</x:v>
      </x:c>
      <x:c r="E89" s="70" t="n">
        <x:f>$B$4</x:f>
        <x:v>120</x:v>
      </x:c>
      <x:c r="F89" s="70" t="n">
        <x:f>$B$5</x:f>
        <x:v>30</x:v>
      </x:c>
      <x:c r="G89" s="70" t="n">
        <x:f>$B$6</x:f>
        <x:v>1</x:v>
      </x:c>
      <x:c r="H89" s="70" t="n">
        <x:f>ROUND(($D89+$E89+$F89)*(1+50%)*$G89,0)</x:f>
        <x:v>421</x:v>
      </x:c>
      <x:c r="I89" s="70" t="n">
        <x:f>ROUND(($D89+$E89+$F89)*(1+75%)*$G89,0)</x:f>
        <x:v>491</x:v>
      </x:c>
      <x:c r="J89" s="70" t="n">
        <x:f>ROUND(($D89+$E89+$F89)*(1+100%)*$G89,0)</x:f>
        <x:v>561</x:v>
      </x:c>
      <x:c r="K89" s="70" t="n">
        <x:f>MIN($B$9,MAX($B$8,CEILING(J89,10)))</x:f>
        <x:v>600</x:v>
      </x:c>
      <x:c r="L89" s="70" t="str">
        <x:f>IF(AND(K89&gt;=$B$8,K89&lt;=$B$9),"目标内","需复核")</x:f>
        <x:v>目标内</x:v>
      </x:c>
      <x:c r="M89" s="70" t="n">
        <x:f>K89-C89</x:f>
        <x:v>-536</x:v>
      </x:c>
      <x:c r="N89" s="72" t="str">
        <x:v>=DISPIMG("ID_545F4CB24B9B4FF59E65AE3698B702FE",1)</x:v>
      </x:c>
      <x:c r="O89" s="58"/>
      <x:c r="P89" s="58"/>
      <x:c r="Q89" s="58"/>
      <x:c r="R89" s="58"/>
      <x:c r="S89" s="58"/>
      <x:c r="T89" s="58"/>
      <x:c r="U89" s="58"/>
      <x:c r="V89" s="58"/>
      <x:c r="W89" s="58"/>
      <x:c r="X89" s="58"/>
      <x:c r="Y89" s="58"/>
      <x:c r="Z89" s="58"/>
    </x:row>
    <x:row r="90">
      <x:c r="A90" s="68" t="str">
        <x:v>BB80</x:v>
      </x:c>
      <x:c r="B90" s="69" t="str">
        <x:v>1卡戒指</x:v>
      </x:c>
      <x:c r="C90" s="70" t="n">
        <x:v>1045</x:v>
      </x:c>
      <x:c r="D90" s="71" t="n">
        <x:v>120.175</x:v>
      </x:c>
      <x:c r="E90" s="70" t="n">
        <x:f>$B$4</x:f>
        <x:v>120</x:v>
      </x:c>
      <x:c r="F90" s="70" t="n">
        <x:f>$B$5</x:f>
        <x:v>30</x:v>
      </x:c>
      <x:c r="G90" s="70" t="n">
        <x:f>$B$6</x:f>
        <x:v>1</x:v>
      </x:c>
      <x:c r="H90" s="70" t="n">
        <x:f>ROUND(($D90+$E90+$F90)*(1+50%)*$G90,0)</x:f>
        <x:v>405</x:v>
      </x:c>
      <x:c r="I90" s="70" t="n">
        <x:f>ROUND(($D90+$E90+$F90)*(1+75%)*$G90,0)</x:f>
        <x:v>473</x:v>
      </x:c>
      <x:c r="J90" s="70" t="n">
        <x:f>ROUND(($D90+$E90+$F90)*(1+100%)*$G90,0)</x:f>
        <x:v>540</x:v>
      </x:c>
      <x:c r="K90" s="70" t="n">
        <x:f>MIN($B$9,MAX($B$8,CEILING(J90,10)))</x:f>
        <x:v>600</x:v>
      </x:c>
      <x:c r="L90" s="70" t="str">
        <x:f>IF(AND(K90&gt;=$B$8,K90&lt;=$B$9),"目标内","需复核")</x:f>
        <x:v>目标内</x:v>
      </x:c>
      <x:c r="M90" s="70" t="n">
        <x:f>K90-C90</x:f>
        <x:v>-445</x:v>
      </x:c>
      <x:c r="N90" s="72" t="str">
        <x:v>=DISPIMG("ID_8B7EB80C5ABD4CE4A45E0C43F996144D",1)</x:v>
      </x:c>
      <x:c r="O90" s="58"/>
      <x:c r="P90" s="58"/>
      <x:c r="Q90" s="58"/>
      <x:c r="R90" s="58"/>
      <x:c r="S90" s="58"/>
      <x:c r="T90" s="58"/>
      <x:c r="U90" s="58"/>
      <x:c r="V90" s="58"/>
      <x:c r="W90" s="58"/>
      <x:c r="X90" s="58"/>
      <x:c r="Y90" s="58"/>
      <x:c r="Z90" s="58"/>
    </x:row>
    <x:row r="91">
      <x:c r="A91" s="68" t="str">
        <x:v>BB81</x:v>
      </x:c>
      <x:c r="B91" s="69" t="str">
        <x:v>2卡耳钉</x:v>
      </x:c>
      <x:c r="C91" s="70" t="n">
        <x:v>1100</x:v>
      </x:c>
      <x:c r="D91" s="71" t="n">
        <x:v>126.5</x:v>
      </x:c>
      <x:c r="E91" s="70" t="n">
        <x:f>$B$4</x:f>
        <x:v>120</x:v>
      </x:c>
      <x:c r="F91" s="70" t="n">
        <x:f>$B$5</x:f>
        <x:v>30</x:v>
      </x:c>
      <x:c r="G91" s="70" t="n">
        <x:f>$B$6</x:f>
        <x:v>1</x:v>
      </x:c>
      <x:c r="H91" s="70" t="n">
        <x:f>ROUND(($D91+$E91+$F91)*(1+50%)*$G91,0)</x:f>
        <x:v>415</x:v>
      </x:c>
      <x:c r="I91" s="70" t="n">
        <x:f>ROUND(($D91+$E91+$F91)*(1+75%)*$G91,0)</x:f>
        <x:v>484</x:v>
      </x:c>
      <x:c r="J91" s="70" t="n">
        <x:f>ROUND(($D91+$E91+$F91)*(1+100%)*$G91,0)</x:f>
        <x:v>553</x:v>
      </x:c>
      <x:c r="K91" s="70" t="n">
        <x:f>MIN($B$9,MAX($B$8,CEILING(J91,10)))</x:f>
        <x:v>600</x:v>
      </x:c>
      <x:c r="L91" s="70" t="str">
        <x:f>IF(AND(K91&gt;=$B$8,K91&lt;=$B$9),"目标内","需复核")</x:f>
        <x:v>目标内</x:v>
      </x:c>
      <x:c r="M91" s="70" t="n">
        <x:f>K91-C91</x:f>
        <x:v>-500</x:v>
      </x:c>
      <x:c r="N91" s="72" t="str">
        <x:v>=DISPIMG("ID_99D1BBA6C97241538DA9A7B92507D5BC",1)</x:v>
      </x:c>
      <x:c r="O91" s="58"/>
      <x:c r="P91" s="58"/>
      <x:c r="Q91" s="58"/>
      <x:c r="R91" s="58"/>
      <x:c r="S91" s="58"/>
      <x:c r="T91" s="58"/>
      <x:c r="U91" s="58"/>
      <x:c r="V91" s="58"/>
      <x:c r="W91" s="58"/>
      <x:c r="X91" s="58"/>
      <x:c r="Y91" s="58"/>
      <x:c r="Z91" s="58"/>
    </x:row>
    <x:row r="92">
      <x:c r="A92" s="68" t="str">
        <x:v>BB82</x:v>
      </x:c>
      <x:c r="B92" s="69" t="str">
        <x:v>2卡戒指</x:v>
      </x:c>
      <x:c r="C92" s="70" t="n">
        <x:v>1245</x:v>
      </x:c>
      <x:c r="D92" s="71" t="n">
        <x:v>143.175</x:v>
      </x:c>
      <x:c r="E92" s="70" t="n">
        <x:f>$B$4</x:f>
        <x:v>120</x:v>
      </x:c>
      <x:c r="F92" s="70" t="n">
        <x:f>$B$5</x:f>
        <x:v>30</x:v>
      </x:c>
      <x:c r="G92" s="70" t="n">
        <x:f>$B$6</x:f>
        <x:v>1</x:v>
      </x:c>
      <x:c r="H92" s="70" t="n">
        <x:f>ROUND(($D92+$E92+$F92)*(1+50%)*$G92,0)</x:f>
        <x:v>440</x:v>
      </x:c>
      <x:c r="I92" s="70" t="n">
        <x:f>ROUND(($D92+$E92+$F92)*(1+75%)*$G92,0)</x:f>
        <x:v>513</x:v>
      </x:c>
      <x:c r="J92" s="70" t="n">
        <x:f>ROUND(($D92+$E92+$F92)*(1+100%)*$G92,0)</x:f>
        <x:v>586</x:v>
      </x:c>
      <x:c r="K92" s="70" t="n">
        <x:f>MIN($B$9,MAX($B$8,CEILING(J92,10)))</x:f>
        <x:v>600</x:v>
      </x:c>
      <x:c r="L92" s="70" t="str">
        <x:f>IF(AND(K92&gt;=$B$8,K92&lt;=$B$9),"目标内","需复核")</x:f>
        <x:v>目标内</x:v>
      </x:c>
      <x:c r="M92" s="70" t="n">
        <x:f>K92-C92</x:f>
        <x:v>-645</x:v>
      </x:c>
      <x:c r="N92" s="72" t="str">
        <x:v>=DISPIMG("ID_5DE0581B90FA4D41B176810F920EC5BD",1)</x:v>
      </x:c>
      <x:c r="O92" s="58"/>
      <x:c r="P92" s="58"/>
      <x:c r="Q92" s="58"/>
      <x:c r="R92" s="58"/>
      <x:c r="S92" s="58"/>
      <x:c r="T92" s="58"/>
      <x:c r="U92" s="58"/>
      <x:c r="V92" s="58"/>
      <x:c r="W92" s="58"/>
      <x:c r="X92" s="58"/>
      <x:c r="Y92" s="58"/>
      <x:c r="Z92" s="58"/>
    </x:row>
    <x:row r="93">
      <x:c r="A93" s="68" t="str">
        <x:v>BB83</x:v>
      </x:c>
      <x:c r="B93" s="69" t="str">
        <x:v>2卡项链</x:v>
      </x:c>
      <x:c r="C93" s="70" t="n">
        <x:v>1355</x:v>
      </x:c>
      <x:c r="D93" s="71" t="n">
        <x:v>155.825</x:v>
      </x:c>
      <x:c r="E93" s="70" t="n">
        <x:f>$B$4</x:f>
        <x:v>120</x:v>
      </x:c>
      <x:c r="F93" s="70" t="n">
        <x:f>$B$5</x:f>
        <x:v>30</x:v>
      </x:c>
      <x:c r="G93" s="70" t="n">
        <x:f>$B$6</x:f>
        <x:v>1</x:v>
      </x:c>
      <x:c r="H93" s="70" t="n">
        <x:f>ROUND(($D93+$E93+$F93)*(1+50%)*$G93,0)</x:f>
        <x:v>459</x:v>
      </x:c>
      <x:c r="I93" s="70" t="n">
        <x:f>ROUND(($D93+$E93+$F93)*(1+75%)*$G93,0)</x:f>
        <x:v>535</x:v>
      </x:c>
      <x:c r="J93" s="70" t="n">
        <x:f>ROUND(($D93+$E93+$F93)*(1+100%)*$G93,0)</x:f>
        <x:v>612</x:v>
      </x:c>
      <x:c r="K93" s="70" t="n">
        <x:f>MIN($B$9,MAX($B$8,CEILING(J93,10)))</x:f>
        <x:v>620</x:v>
      </x:c>
      <x:c r="L93" s="70" t="str">
        <x:f>IF(AND(K93&gt;=$B$8,K93&lt;=$B$9),"目标内","需复核")</x:f>
        <x:v>目标内</x:v>
      </x:c>
      <x:c r="M93" s="70" t="n">
        <x:f>K93-C93</x:f>
        <x:v>-735</x:v>
      </x:c>
      <x:c r="N93" s="72" t="str">
        <x:v>=DISPIMG("ID_CE93AD48CCCC476DA717091D329FFE28",1)</x:v>
      </x:c>
      <x:c r="O93" s="58"/>
      <x:c r="P93" s="58"/>
      <x:c r="Q93" s="58"/>
      <x:c r="R93" s="58"/>
      <x:c r="S93" s="58"/>
      <x:c r="T93" s="58"/>
      <x:c r="U93" s="58"/>
      <x:c r="V93" s="58"/>
      <x:c r="W93" s="58"/>
      <x:c r="X93" s="58"/>
      <x:c r="Y93" s="58"/>
      <x:c r="Z93" s="58"/>
    </x:row>
    <x:row r="94">
      <x:c r="A94" s="68" t="str">
        <x:v>BB84</x:v>
      </x:c>
      <x:c r="B94" s="69" t="str">
        <x:v>2卡戒指</x:v>
      </x:c>
      <x:c r="C94" s="70" t="n">
        <x:v>1505</x:v>
      </x:c>
      <x:c r="D94" s="71" t="n">
        <x:v>173.075</x:v>
      </x:c>
      <x:c r="E94" s="70" t="n">
        <x:f>$B$4</x:f>
        <x:v>120</x:v>
      </x:c>
      <x:c r="F94" s="70" t="n">
        <x:f>$B$5</x:f>
        <x:v>30</x:v>
      </x:c>
      <x:c r="G94" s="70" t="n">
        <x:f>$B$6</x:f>
        <x:v>1</x:v>
      </x:c>
      <x:c r="H94" s="70" t="n">
        <x:f>ROUND(($D94+$E94+$F94)*(1+50%)*$G94,0)</x:f>
        <x:v>485</x:v>
      </x:c>
      <x:c r="I94" s="70" t="n">
        <x:f>ROUND(($D94+$E94+$F94)*(1+75%)*$G94,0)</x:f>
        <x:v>565</x:v>
      </x:c>
      <x:c r="J94" s="70" t="n">
        <x:f>ROUND(($D94+$E94+$F94)*(1+100%)*$G94,0)</x:f>
        <x:v>646</x:v>
      </x:c>
      <x:c r="K94" s="70" t="n">
        <x:f>MIN($B$9,MAX($B$8,CEILING(J94,10)))</x:f>
        <x:v>650</x:v>
      </x:c>
      <x:c r="L94" s="70" t="str">
        <x:f>IF(AND(K94&gt;=$B$8,K94&lt;=$B$9),"目标内","需复核")</x:f>
        <x:v>目标内</x:v>
      </x:c>
      <x:c r="M94" s="70" t="n">
        <x:f>K94-C94</x:f>
        <x:v>-855</x:v>
      </x:c>
      <x:c r="N94" s="72" t="str">
        <x:v>=DISPIMG("ID_95A2920467DE43D0A1C8EBCD0364E88D",1)</x:v>
      </x:c>
      <x:c r="O94" s="58"/>
      <x:c r="P94" s="58"/>
      <x:c r="Q94" s="58"/>
      <x:c r="R94" s="58"/>
      <x:c r="S94" s="58"/>
      <x:c r="T94" s="58"/>
      <x:c r="U94" s="58"/>
      <x:c r="V94" s="58"/>
      <x:c r="W94" s="58"/>
      <x:c r="X94" s="58"/>
      <x:c r="Y94" s="58"/>
      <x:c r="Z94" s="58"/>
    </x:row>
    <x:row r="95">
      <x:c r="A95" s="68" t="str">
        <x:v>BB85</x:v>
      </x:c>
      <x:c r="B95" s="69" t="str">
        <x:v>2卡戒指</x:v>
      </x:c>
      <x:c r="C95" s="70" t="n">
        <x:v>1220</x:v>
      </x:c>
      <x:c r="D95" s="71" t="n">
        <x:v>140.3</x:v>
      </x:c>
      <x:c r="E95" s="70" t="n">
        <x:f>$B$4</x:f>
        <x:v>120</x:v>
      </x:c>
      <x:c r="F95" s="70" t="n">
        <x:f>$B$5</x:f>
        <x:v>30</x:v>
      </x:c>
      <x:c r="G95" s="70" t="n">
        <x:f>$B$6</x:f>
        <x:v>1</x:v>
      </x:c>
      <x:c r="H95" s="70" t="n">
        <x:f>ROUND(($D95+$E95+$F95)*(1+50%)*$G95,0)</x:f>
        <x:v>435</x:v>
      </x:c>
      <x:c r="I95" s="70" t="n">
        <x:f>ROUND(($D95+$E95+$F95)*(1+75%)*$G95,0)</x:f>
        <x:v>508</x:v>
      </x:c>
      <x:c r="J95" s="70" t="n">
        <x:f>ROUND(($D95+$E95+$F95)*(1+100%)*$G95,0)</x:f>
        <x:v>581</x:v>
      </x:c>
      <x:c r="K95" s="70" t="n">
        <x:f>MIN($B$9,MAX($B$8,CEILING(J95,10)))</x:f>
        <x:v>600</x:v>
      </x:c>
      <x:c r="L95" s="70" t="str">
        <x:f>IF(AND(K95&gt;=$B$8,K95&lt;=$B$9),"目标内","需复核")</x:f>
        <x:v>目标内</x:v>
      </x:c>
      <x:c r="M95" s="70" t="n">
        <x:f>K95-C95</x:f>
        <x:v>-620</x:v>
      </x:c>
      <x:c r="N95" s="72" t="str">
        <x:v>=DISPIMG("ID_9C1ABBF584BF4DB3AAAE97CAA7BF00A2",1)</x:v>
      </x:c>
      <x:c r="O95" s="58"/>
      <x:c r="P95" s="58"/>
      <x:c r="Q95" s="58"/>
      <x:c r="R95" s="58"/>
      <x:c r="S95" s="58"/>
      <x:c r="T95" s="58"/>
      <x:c r="U95" s="58"/>
      <x:c r="V95" s="58"/>
      <x:c r="W95" s="58"/>
      <x:c r="X95" s="58"/>
      <x:c r="Y95" s="58"/>
      <x:c r="Z95" s="58"/>
    </x:row>
    <x:row r="96">
      <x:c r="A96" s="68" t="str">
        <x:v>BB86</x:v>
      </x:c>
      <x:c r="B96" s="69" t="str">
        <x:v>50分耳钉</x:v>
      </x:c>
      <x:c r="C96" s="70" t="n">
        <x:v>930</x:v>
      </x:c>
      <x:c r="D96" s="71" t="n">
        <x:v>106.95</x:v>
      </x:c>
      <x:c r="E96" s="70" t="n">
        <x:f>$B$4</x:f>
        <x:v>120</x:v>
      </x:c>
      <x:c r="F96" s="70" t="n">
        <x:f>$B$5</x:f>
        <x:v>30</x:v>
      </x:c>
      <x:c r="G96" s="70" t="n">
        <x:f>$B$6</x:f>
        <x:v>1</x:v>
      </x:c>
      <x:c r="H96" s="70" t="n">
        <x:f>ROUND(($D96+$E96+$F96)*(1+50%)*$G96,0)</x:f>
        <x:v>385</x:v>
      </x:c>
      <x:c r="I96" s="70" t="n">
        <x:f>ROUND(($D96+$E96+$F96)*(1+75%)*$G96,0)</x:f>
        <x:v>450</x:v>
      </x:c>
      <x:c r="J96" s="70" t="n">
        <x:f>ROUND(($D96+$E96+$F96)*(1+100%)*$G96,0)</x:f>
        <x:v>514</x:v>
      </x:c>
      <x:c r="K96" s="70" t="n">
        <x:f>MIN($B$9,MAX($B$8,CEILING(J96,10)))</x:f>
        <x:v>600</x:v>
      </x:c>
      <x:c r="L96" s="70" t="str">
        <x:f>IF(AND(K96&gt;=$B$8,K96&lt;=$B$9),"目标内","需复核")</x:f>
        <x:v>目标内</x:v>
      </x:c>
      <x:c r="M96" s="70" t="n">
        <x:f>K96-C96</x:f>
        <x:v>-330</x:v>
      </x:c>
      <x:c r="N96" s="72" t="str">
        <x:v>=DISPIMG("ID_F276907954B84BBF928D0A2E14A6FC59",1)</x:v>
      </x:c>
      <x:c r="O96" s="58"/>
      <x:c r="P96" s="58"/>
      <x:c r="Q96" s="58"/>
      <x:c r="R96" s="58"/>
      <x:c r="S96" s="58"/>
      <x:c r="T96" s="58"/>
      <x:c r="U96" s="58"/>
      <x:c r="V96" s="58"/>
      <x:c r="W96" s="58"/>
      <x:c r="X96" s="58"/>
      <x:c r="Y96" s="58"/>
      <x:c r="Z96" s="58"/>
    </x:row>
    <x:row r="97">
      <x:c r="A97" s="68" t="str">
        <x:v>BB87</x:v>
      </x:c>
      <x:c r="B97" s="69" t="str">
        <x:v>碎钻戒指</x:v>
      </x:c>
      <x:c r="C97" s="70" t="n">
        <x:v>860</x:v>
      </x:c>
      <x:c r="D97" s="71" t="n">
        <x:v>98.9</x:v>
      </x:c>
      <x:c r="E97" s="70" t="n">
        <x:f>$B$4</x:f>
        <x:v>120</x:v>
      </x:c>
      <x:c r="F97" s="70" t="n">
        <x:f>$B$5</x:f>
        <x:v>30</x:v>
      </x:c>
      <x:c r="G97" s="70" t="n">
        <x:f>$B$6</x:f>
        <x:v>1</x:v>
      </x:c>
      <x:c r="H97" s="70" t="n">
        <x:f>ROUND(($D97+$E97+$F97)*(1+50%)*$G97,0)</x:f>
        <x:v>373</x:v>
      </x:c>
      <x:c r="I97" s="70" t="n">
        <x:f>ROUND(($D97+$E97+$F97)*(1+75%)*$G97,0)</x:f>
        <x:v>436</x:v>
      </x:c>
      <x:c r="J97" s="70" t="n">
        <x:f>ROUND(($D97+$E97+$F97)*(1+100%)*$G97,0)</x:f>
        <x:v>498</x:v>
      </x:c>
      <x:c r="K97" s="70" t="n">
        <x:f>MIN($B$9,MAX($B$8,CEILING(J97,10)))</x:f>
        <x:v>600</x:v>
      </x:c>
      <x:c r="L97" s="70" t="str">
        <x:f>IF(AND(K97&gt;=$B$8,K97&lt;=$B$9),"目标内","需复核")</x:f>
        <x:v>目标内</x:v>
      </x:c>
      <x:c r="M97" s="70" t="n">
        <x:f>K97-C97</x:f>
        <x:v>-260</x:v>
      </x:c>
      <x:c r="N97" s="72" t="str">
        <x:v>=DISPIMG("ID_94704FC28294497FBE982E584075605C",1)</x:v>
      </x:c>
      <x:c r="O97" s="58"/>
      <x:c r="P97" s="58"/>
      <x:c r="Q97" s="58"/>
      <x:c r="R97" s="58"/>
      <x:c r="S97" s="58"/>
      <x:c r="T97" s="58"/>
      <x:c r="U97" s="58"/>
      <x:c r="V97" s="58"/>
      <x:c r="W97" s="58"/>
      <x:c r="X97" s="58"/>
      <x:c r="Y97" s="58"/>
      <x:c r="Z97" s="58"/>
    </x:row>
    <x:row r="98">
      <x:c r="A98" s="68" t="str">
        <x:v>BB88</x:v>
      </x:c>
      <x:c r="B98" s="69" t="str">
        <x:v>1卡戒指</x:v>
      </x:c>
      <x:c r="C98" s="70" t="n">
        <x:v>1135</x:v>
      </x:c>
      <x:c r="D98" s="71" t="n">
        <x:v>130.525</x:v>
      </x:c>
      <x:c r="E98" s="70" t="n">
        <x:f>$B$4</x:f>
        <x:v>120</x:v>
      </x:c>
      <x:c r="F98" s="70" t="n">
        <x:f>$B$5</x:f>
        <x:v>30</x:v>
      </x:c>
      <x:c r="G98" s="70" t="n">
        <x:f>$B$6</x:f>
        <x:v>1</x:v>
      </x:c>
      <x:c r="H98" s="70" t="n">
        <x:f>ROUND(($D98+$E98+$F98)*(1+50%)*$G98,0)</x:f>
        <x:v>421</x:v>
      </x:c>
      <x:c r="I98" s="70" t="n">
        <x:f>ROUND(($D98+$E98+$F98)*(1+75%)*$G98,0)</x:f>
        <x:v>491</x:v>
      </x:c>
      <x:c r="J98" s="70" t="n">
        <x:f>ROUND(($D98+$E98+$F98)*(1+100%)*$G98,0)</x:f>
        <x:v>561</x:v>
      </x:c>
      <x:c r="K98" s="70" t="n">
        <x:f>MIN($B$9,MAX($B$8,CEILING(J98,10)))</x:f>
        <x:v>600</x:v>
      </x:c>
      <x:c r="L98" s="70" t="str">
        <x:f>IF(AND(K98&gt;=$B$8,K98&lt;=$B$9),"目标内","需复核")</x:f>
        <x:v>目标内</x:v>
      </x:c>
      <x:c r="M98" s="70" t="n">
        <x:f>K98-C98</x:f>
        <x:v>-535</x:v>
      </x:c>
      <x:c r="N98" s="72" t="str">
        <x:v>=DISPIMG("ID_2005808BA2CA46E3AE3B3E5E715B2FC0",1)</x:v>
      </x:c>
      <x:c r="O98" s="58"/>
      <x:c r="P98" s="58"/>
      <x:c r="Q98" s="58"/>
      <x:c r="R98" s="58"/>
      <x:c r="S98" s="58"/>
      <x:c r="T98" s="58"/>
      <x:c r="U98" s="58"/>
      <x:c r="V98" s="58"/>
      <x:c r="W98" s="58"/>
      <x:c r="X98" s="58"/>
      <x:c r="Y98" s="58"/>
      <x:c r="Z98" s="58"/>
    </x:row>
    <x:row r="99">
      <x:c r="A99" s="68" t="str">
        <x:v>BB89</x:v>
      </x:c>
      <x:c r="B99" s="69" t="str">
        <x:v>1卡项链</x:v>
      </x:c>
      <x:c r="C99" s="70" t="n">
        <x:v>1050</x:v>
      </x:c>
      <x:c r="D99" s="71" t="n">
        <x:v>120.75</x:v>
      </x:c>
      <x:c r="E99" s="70" t="n">
        <x:f>$B$4</x:f>
        <x:v>120</x:v>
      </x:c>
      <x:c r="F99" s="70" t="n">
        <x:f>$B$5</x:f>
        <x:v>30</x:v>
      </x:c>
      <x:c r="G99" s="70" t="n">
        <x:f>$B$6</x:f>
        <x:v>1</x:v>
      </x:c>
      <x:c r="H99" s="70" t="n">
        <x:f>ROUND(($D99+$E99+$F99)*(1+50%)*$G99,0)</x:f>
        <x:v>406</x:v>
      </x:c>
      <x:c r="I99" s="70" t="n">
        <x:f>ROUND(($D99+$E99+$F99)*(1+75%)*$G99,0)</x:f>
        <x:v>474</x:v>
      </x:c>
      <x:c r="J99" s="70" t="n">
        <x:f>ROUND(($D99+$E99+$F99)*(1+100%)*$G99,0)</x:f>
        <x:v>542</x:v>
      </x:c>
      <x:c r="K99" s="70" t="n">
        <x:f>MIN($B$9,MAX($B$8,CEILING(J99,10)))</x:f>
        <x:v>600</x:v>
      </x:c>
      <x:c r="L99" s="70" t="str">
        <x:f>IF(AND(K99&gt;=$B$8,K99&lt;=$B$9),"目标内","需复核")</x:f>
        <x:v>目标内</x:v>
      </x:c>
      <x:c r="M99" s="70" t="n">
        <x:f>K99-C99</x:f>
        <x:v>-450</x:v>
      </x:c>
      <x:c r="N99" s="72" t="str">
        <x:v>=DISPIMG("ID_F86DEB087F2D42DA909950BA722A036A",1)</x:v>
      </x:c>
      <x:c r="O99" s="58"/>
      <x:c r="P99" s="58"/>
      <x:c r="Q99" s="58"/>
      <x:c r="R99" s="58"/>
      <x:c r="S99" s="58"/>
      <x:c r="T99" s="58"/>
      <x:c r="U99" s="58"/>
      <x:c r="V99" s="58"/>
      <x:c r="W99" s="58"/>
      <x:c r="X99" s="58"/>
      <x:c r="Y99" s="58"/>
      <x:c r="Z99" s="58"/>
    </x:row>
    <x:row r="100">
      <x:c r="A100" s="68" t="str">
        <x:v>BB90</x:v>
      </x:c>
      <x:c r="B100" s="69" t="str">
        <x:v>1卡戒指</x:v>
      </x:c>
      <x:c r="C100" s="70" t="n">
        <x:v>805</x:v>
      </x:c>
      <x:c r="D100" s="71" t="n">
        <x:v>92.575</x:v>
      </x:c>
      <x:c r="E100" s="70" t="n">
        <x:f>$B$4</x:f>
        <x:v>120</x:v>
      </x:c>
      <x:c r="F100" s="70" t="n">
        <x:f>$B$5</x:f>
        <x:v>30</x:v>
      </x:c>
      <x:c r="G100" s="70" t="n">
        <x:f>$B$6</x:f>
        <x:v>1</x:v>
      </x:c>
      <x:c r="H100" s="70" t="n">
        <x:f>ROUND(($D100+$E100+$F100)*(1+50%)*$G100,0)</x:f>
        <x:v>364</x:v>
      </x:c>
      <x:c r="I100" s="70" t="n">
        <x:f>ROUND(($D100+$E100+$F100)*(1+75%)*$G100,0)</x:f>
        <x:v>425</x:v>
      </x:c>
      <x:c r="J100" s="70" t="n">
        <x:f>ROUND(($D100+$E100+$F100)*(1+100%)*$G100,0)</x:f>
        <x:v>485</x:v>
      </x:c>
      <x:c r="K100" s="70" t="n">
        <x:f>MIN($B$9,MAX($B$8,CEILING(J100,10)))</x:f>
        <x:v>600</x:v>
      </x:c>
      <x:c r="L100" s="70" t="str">
        <x:f>IF(AND(K100&gt;=$B$8,K100&lt;=$B$9),"目标内","需复核")</x:f>
        <x:v>目标内</x:v>
      </x:c>
      <x:c r="M100" s="70" t="n">
        <x:f>K100-C100</x:f>
        <x:v>-205</x:v>
      </x:c>
      <x:c r="N100" s="72" t="str">
        <x:v>=DISPIMG("ID_98E385758198452485FD079E64B126E7",1)</x:v>
      </x:c>
      <x:c r="O100" s="58"/>
      <x:c r="P100" s="58"/>
      <x:c r="Q100" s="58"/>
      <x:c r="R100" s="58"/>
      <x:c r="S100" s="58"/>
      <x:c r="T100" s="58"/>
      <x:c r="U100" s="58"/>
      <x:c r="V100" s="58"/>
      <x:c r="W100" s="58"/>
      <x:c r="X100" s="58"/>
      <x:c r="Y100" s="58"/>
      <x:c r="Z100" s="58"/>
    </x:row>
    <x:row r="101">
      <x:c r="A101" s="68" t="str">
        <x:v>BB91</x:v>
      </x:c>
      <x:c r="B101" s="69" t="str">
        <x:v>1卡耳钉</x:v>
      </x:c>
      <x:c r="C101" s="70" t="n">
        <x:v>825</x:v>
      </x:c>
      <x:c r="D101" s="71" t="n">
        <x:v>94.875</x:v>
      </x:c>
      <x:c r="E101" s="70" t="n">
        <x:f>$B$4</x:f>
        <x:v>120</x:v>
      </x:c>
      <x:c r="F101" s="70" t="n">
        <x:f>$B$5</x:f>
        <x:v>30</x:v>
      </x:c>
      <x:c r="G101" s="70" t="n">
        <x:f>$B$6</x:f>
        <x:v>1</x:v>
      </x:c>
      <x:c r="H101" s="70" t="n">
        <x:f>ROUND(($D101+$E101+$F101)*(1+50%)*$G101,0)</x:f>
        <x:v>367</x:v>
      </x:c>
      <x:c r="I101" s="70" t="n">
        <x:f>ROUND(($D101+$E101+$F101)*(1+75%)*$G101,0)</x:f>
        <x:v>429</x:v>
      </x:c>
      <x:c r="J101" s="70" t="n">
        <x:f>ROUND(($D101+$E101+$F101)*(1+100%)*$G101,0)</x:f>
        <x:v>490</x:v>
      </x:c>
      <x:c r="K101" s="70" t="n">
        <x:f>MIN($B$9,MAX($B$8,CEILING(J101,10)))</x:f>
        <x:v>600</x:v>
      </x:c>
      <x:c r="L101" s="70" t="str">
        <x:f>IF(AND(K101&gt;=$B$8,K101&lt;=$B$9),"目标内","需复核")</x:f>
        <x:v>目标内</x:v>
      </x:c>
      <x:c r="M101" s="70" t="n">
        <x:f>K101-C101</x:f>
        <x:v>-225</x:v>
      </x:c>
      <x:c r="N101" s="72" t="str">
        <x:v>=DISPIMG("ID_F7E48E1E8C6647E7AC40262DCA929853",1)</x:v>
      </x:c>
      <x:c r="O101" s="58"/>
      <x:c r="P101" s="58"/>
      <x:c r="Q101" s="58"/>
      <x:c r="R101" s="58"/>
      <x:c r="S101" s="58"/>
      <x:c r="T101" s="58"/>
      <x:c r="U101" s="58"/>
      <x:c r="V101" s="58"/>
      <x:c r="W101" s="58"/>
      <x:c r="X101" s="58"/>
      <x:c r="Y101" s="58"/>
      <x:c r="Z101" s="58"/>
    </x:row>
    <x:row r="102">
      <x:c r="A102" s="68" t="str">
        <x:v>BB92</x:v>
      </x:c>
      <x:c r="B102" s="69" t="str">
        <x:v>2卡戒指</x:v>
      </x:c>
      <x:c r="C102" s="70" t="n">
        <x:v>1340</x:v>
      </x:c>
      <x:c r="D102" s="71" t="n">
        <x:v>154.1</x:v>
      </x:c>
      <x:c r="E102" s="70" t="n">
        <x:f>$B$4</x:f>
        <x:v>120</x:v>
      </x:c>
      <x:c r="F102" s="70" t="n">
        <x:f>$B$5</x:f>
        <x:v>30</x:v>
      </x:c>
      <x:c r="G102" s="70" t="n">
        <x:f>$B$6</x:f>
        <x:v>1</x:v>
      </x:c>
      <x:c r="H102" s="70" t="n">
        <x:f>ROUND(($D102+$E102+$F102)*(1+50%)*$G102,0)</x:f>
        <x:v>456</x:v>
      </x:c>
      <x:c r="I102" s="70" t="n">
        <x:f>ROUND(($D102+$E102+$F102)*(1+75%)*$G102,0)</x:f>
        <x:v>532</x:v>
      </x:c>
      <x:c r="J102" s="70" t="n">
        <x:f>ROUND(($D102+$E102+$F102)*(1+100%)*$G102,0)</x:f>
        <x:v>608</x:v>
      </x:c>
      <x:c r="K102" s="70" t="n">
        <x:f>MIN($B$9,MAX($B$8,CEILING(J102,10)))</x:f>
        <x:v>610</x:v>
      </x:c>
      <x:c r="L102" s="70" t="str">
        <x:f>IF(AND(K102&gt;=$B$8,K102&lt;=$B$9),"目标内","需复核")</x:f>
        <x:v>目标内</x:v>
      </x:c>
      <x:c r="M102" s="70" t="n">
        <x:f>K102-C102</x:f>
        <x:v>-730</x:v>
      </x:c>
      <x:c r="N102" s="72" t="str">
        <x:v>=DISPIMG("ID_6AD4A0D9B8E84069AB861564AA6EB611",1)</x:v>
      </x:c>
      <x:c r="O102" s="58"/>
      <x:c r="P102" s="58"/>
      <x:c r="Q102" s="58"/>
      <x:c r="R102" s="58"/>
      <x:c r="S102" s="58"/>
      <x:c r="T102" s="58"/>
      <x:c r="U102" s="58"/>
      <x:c r="V102" s="58"/>
      <x:c r="W102" s="58"/>
      <x:c r="X102" s="58"/>
      <x:c r="Y102" s="58"/>
      <x:c r="Z102" s="58"/>
    </x:row>
    <x:row r="103">
      <x:c r="A103" s="73" t="str">
        <x:v>BB93</x:v>
      </x:c>
      <x:c r="B103" s="74" t="str">
        <x:v>2卡戒指</x:v>
      </x:c>
      <x:c r="C103" s="75" t="n">
        <x:v>1140</x:v>
      </x:c>
      <x:c r="D103" s="76" t="n">
        <x:v>131.1</x:v>
      </x:c>
      <x:c r="E103" s="75" t="n">
        <x:f>$B$4</x:f>
        <x:v>120</x:v>
      </x:c>
      <x:c r="F103" s="75" t="n">
        <x:f>$B$5</x:f>
        <x:v>30</x:v>
      </x:c>
      <x:c r="G103" s="75" t="n">
        <x:f>$B$6</x:f>
        <x:v>1</x:v>
      </x:c>
      <x:c r="H103" s="75" t="n">
        <x:f>ROUND(($D103+$E103+$F103)*(1+50%)*$G103,0)</x:f>
        <x:v>422</x:v>
      </x:c>
      <x:c r="I103" s="75" t="n">
        <x:f>ROUND(($D103+$E103+$F103)*(1+75%)*$G103,0)</x:f>
        <x:v>492</x:v>
      </x:c>
      <x:c r="J103" s="75" t="n">
        <x:f>ROUND(($D103+$E103+$F103)*(1+100%)*$G103,0)</x:f>
        <x:v>562</x:v>
      </x:c>
      <x:c r="K103" s="75" t="n">
        <x:f>MIN($B$9,MAX($B$8,CEILING(J103,10)))</x:f>
        <x:v>600</x:v>
      </x:c>
      <x:c r="L103" s="75" t="str">
        <x:f>IF(AND(K103&gt;=$B$8,K103&lt;=$B$9),"目标内","需复核")</x:f>
        <x:v>目标内</x:v>
      </x:c>
      <x:c r="M103" s="75" t="n">
        <x:f>K103-C103</x:f>
        <x:v>-540</x:v>
      </x:c>
      <x:c r="N103" s="77" t="str">
        <x:v>=DISPIMG("ID_B1BE78B7956645919167F4B689B8CB3D",1)</x:v>
      </x:c>
      <x:c r="O103" s="58"/>
      <x:c r="P103" s="58"/>
      <x:c r="Q103" s="58"/>
      <x:c r="R103" s="58"/>
      <x:c r="S103" s="58"/>
      <x:c r="T103" s="58"/>
      <x:c r="U103" s="58"/>
      <x:c r="V103" s="58"/>
      <x:c r="W103" s="58"/>
      <x:c r="X103" s="58"/>
      <x:c r="Y103" s="58"/>
      <x:c r="Z103" s="58"/>
    </x:row>
    <x:row r="104">
      <x:c r="A104" s="58"/>
      <x:c r="B104" s="58"/>
      <x:c r="C104" s="58"/>
      <x:c r="D104" s="58"/>
      <x:c r="E104" s="58"/>
      <x:c r="F104" s="58"/>
      <x:c r="G104" s="58"/>
      <x:c r="H104" s="58"/>
      <x:c r="I104" s="58"/>
      <x:c r="J104" s="58"/>
      <x:c r="K104" s="58"/>
      <x:c r="L104" s="58"/>
      <x:c r="M104" s="58"/>
      <x:c r="N104" s="58"/>
      <x:c r="O104" s="58"/>
      <x:c r="P104" s="58"/>
      <x:c r="Q104" s="58"/>
      <x:c r="R104" s="58"/>
      <x:c r="S104" s="58"/>
      <x:c r="T104" s="58"/>
      <x:c r="U104" s="58"/>
      <x:c r="V104" s="58"/>
      <x:c r="W104" s="58"/>
      <x:c r="X104" s="58"/>
      <x:c r="Y104" s="58"/>
      <x:c r="Z104" s="58"/>
    </x:row>
    <x:row r="105">
      <x:c r="A105" s="58"/>
      <x:c r="B105" s="58"/>
      <x:c r="C105" s="58"/>
      <x:c r="D105" s="58"/>
      <x:c r="E105" s="58"/>
      <x:c r="F105" s="58"/>
      <x:c r="G105" s="58"/>
      <x:c r="H105" s="58"/>
      <x:c r="I105" s="58"/>
      <x:c r="J105" s="58"/>
      <x:c r="K105" s="58"/>
      <x:c r="L105" s="58"/>
      <x:c r="M105" s="58"/>
      <x:c r="N105" s="58"/>
      <x:c r="O105" s="58"/>
      <x:c r="P105" s="58"/>
      <x:c r="Q105" s="58"/>
      <x:c r="R105" s="58"/>
      <x:c r="S105" s="58"/>
      <x:c r="T105" s="58"/>
      <x:c r="U105" s="58"/>
      <x:c r="V105" s="58"/>
      <x:c r="W105" s="58"/>
      <x:c r="X105" s="58"/>
      <x:c r="Y105" s="58"/>
      <x:c r="Z105" s="58"/>
    </x:row>
    <x:row r="106">
      <x:c r="A106" s="58"/>
      <x:c r="B106" s="58"/>
      <x:c r="C106" s="58"/>
      <x:c r="D106" s="58"/>
      <x:c r="E106" s="58"/>
      <x:c r="F106" s="58"/>
      <x:c r="G106" s="58"/>
      <x:c r="H106" s="58"/>
      <x:c r="I106" s="58"/>
      <x:c r="J106" s="58"/>
      <x:c r="K106" s="58"/>
      <x:c r="L106" s="58"/>
      <x:c r="M106" s="58"/>
      <x:c r="N106" s="58"/>
      <x:c r="O106" s="58"/>
      <x:c r="P106" s="58"/>
      <x:c r="Q106" s="58"/>
      <x:c r="R106" s="58"/>
      <x:c r="S106" s="58"/>
      <x:c r="T106" s="58"/>
      <x:c r="U106" s="58"/>
      <x:c r="V106" s="58"/>
      <x:c r="W106" s="58"/>
      <x:c r="X106" s="58"/>
      <x:c r="Y106" s="58"/>
      <x:c r="Z106" s="58"/>
    </x:row>
    <x:row r="107">
      <x:c r="A107" s="58"/>
      <x:c r="B107" s="58"/>
      <x:c r="C107" s="58"/>
      <x:c r="D107" s="58"/>
      <x:c r="E107" s="58"/>
      <x:c r="F107" s="58"/>
      <x:c r="G107" s="58"/>
      <x:c r="H107" s="58"/>
      <x:c r="I107" s="58"/>
      <x:c r="J107" s="58"/>
      <x:c r="K107" s="58"/>
      <x:c r="L107" s="58"/>
      <x:c r="M107" s="58"/>
      <x:c r="N107" s="58"/>
      <x:c r="O107" s="58"/>
      <x:c r="P107" s="58"/>
      <x:c r="Q107" s="58"/>
      <x:c r="R107" s="58"/>
      <x:c r="S107" s="58"/>
      <x:c r="T107" s="58"/>
      <x:c r="U107" s="58"/>
      <x:c r="V107" s="58"/>
      <x:c r="W107" s="58"/>
      <x:c r="X107" s="58"/>
      <x:c r="Y107" s="58"/>
      <x:c r="Z107" s="58"/>
    </x:row>
    <x:row r="108">
      <x:c r="A108" s="58"/>
      <x:c r="B108" s="58"/>
      <x:c r="C108" s="58"/>
      <x:c r="D108" s="58"/>
      <x:c r="E108" s="58"/>
      <x:c r="F108" s="58"/>
      <x:c r="G108" s="58"/>
      <x:c r="H108" s="58"/>
      <x:c r="I108" s="58"/>
      <x:c r="J108" s="58"/>
      <x:c r="K108" s="58"/>
      <x:c r="L108" s="58"/>
      <x:c r="M108" s="58"/>
      <x:c r="N108" s="58"/>
      <x:c r="O108" s="58"/>
      <x:c r="P108" s="58"/>
      <x:c r="Q108" s="58"/>
      <x:c r="R108" s="58"/>
      <x:c r="S108" s="58"/>
      <x:c r="T108" s="58"/>
      <x:c r="U108" s="58"/>
      <x:c r="V108" s="58"/>
      <x:c r="W108" s="58"/>
      <x:c r="X108" s="58"/>
      <x:c r="Y108" s="58"/>
      <x:c r="Z108" s="58"/>
    </x:row>
    <x:row r="109">
      <x:c r="A109" s="58"/>
      <x:c r="B109" s="58"/>
      <x:c r="C109" s="58"/>
      <x:c r="D109" s="58"/>
      <x:c r="E109" s="58"/>
      <x:c r="F109" s="58"/>
      <x:c r="G109" s="58"/>
      <x:c r="H109" s="58"/>
      <x:c r="I109" s="58"/>
      <x:c r="J109" s="58"/>
      <x:c r="K109" s="58"/>
      <x:c r="L109" s="58"/>
      <x:c r="M109" s="58"/>
      <x:c r="N109" s="58"/>
      <x:c r="O109" s="58"/>
      <x:c r="P109" s="58"/>
      <x:c r="Q109" s="58"/>
      <x:c r="R109" s="58"/>
      <x:c r="S109" s="58"/>
      <x:c r="T109" s="58"/>
      <x:c r="U109" s="58"/>
      <x:c r="V109" s="58"/>
      <x:c r="W109" s="58"/>
      <x:c r="X109" s="58"/>
      <x:c r="Y109" s="58"/>
      <x:c r="Z109" s="58"/>
    </x:row>
    <x:row r="110">
      <x:c r="A110" s="58"/>
      <x:c r="B110" s="58"/>
      <x:c r="C110" s="58"/>
      <x:c r="D110" s="58"/>
      <x:c r="E110" s="58"/>
      <x:c r="F110" s="58"/>
      <x:c r="G110" s="58"/>
      <x:c r="H110" s="58"/>
      <x:c r="I110" s="58"/>
      <x:c r="J110" s="58"/>
      <x:c r="K110" s="58"/>
      <x:c r="L110" s="58"/>
      <x:c r="M110" s="58"/>
      <x:c r="N110" s="58"/>
      <x:c r="O110" s="58"/>
      <x:c r="P110" s="58"/>
      <x:c r="Q110" s="58"/>
      <x:c r="R110" s="58"/>
      <x:c r="S110" s="58"/>
      <x:c r="T110" s="58"/>
      <x:c r="U110" s="58"/>
      <x:c r="V110" s="58"/>
      <x:c r="W110" s="58"/>
      <x:c r="X110" s="58"/>
      <x:c r="Y110" s="58"/>
      <x:c r="Z110" s="58"/>
    </x:row>
    <x:row r="111">
      <x:c r="A111" s="58"/>
      <x:c r="B111" s="58"/>
      <x:c r="C111" s="58"/>
      <x:c r="D111" s="58"/>
      <x:c r="E111" s="58"/>
      <x:c r="F111" s="58"/>
      <x:c r="G111" s="58"/>
      <x:c r="H111" s="58"/>
      <x:c r="I111" s="58"/>
      <x:c r="J111" s="58"/>
      <x:c r="K111" s="58"/>
      <x:c r="L111" s="58"/>
      <x:c r="M111" s="58"/>
      <x:c r="N111" s="58"/>
      <x:c r="O111" s="58"/>
      <x:c r="P111" s="58"/>
      <x:c r="Q111" s="58"/>
      <x:c r="R111" s="58"/>
      <x:c r="S111" s="58"/>
      <x:c r="T111" s="58"/>
      <x:c r="U111" s="58"/>
      <x:c r="V111" s="58"/>
      <x:c r="W111" s="58"/>
      <x:c r="X111" s="58"/>
      <x:c r="Y111" s="58"/>
      <x:c r="Z111" s="58"/>
    </x:row>
    <x:row r="112">
      <x:c r="A112" s="58"/>
      <x:c r="B112" s="58"/>
      <x:c r="C112" s="58"/>
      <x:c r="D112" s="58"/>
      <x:c r="E112" s="58"/>
      <x:c r="F112" s="58"/>
      <x:c r="G112" s="58"/>
      <x:c r="H112" s="58"/>
      <x:c r="I112" s="58"/>
      <x:c r="J112" s="58"/>
      <x:c r="K112" s="58"/>
      <x:c r="L112" s="58"/>
      <x:c r="M112" s="58"/>
      <x:c r="N112" s="58"/>
      <x:c r="O112" s="58"/>
      <x:c r="P112" s="58"/>
      <x:c r="Q112" s="58"/>
      <x:c r="R112" s="58"/>
      <x:c r="S112" s="58"/>
      <x:c r="T112" s="58"/>
      <x:c r="U112" s="58"/>
      <x:c r="V112" s="58"/>
      <x:c r="W112" s="58"/>
      <x:c r="X112" s="58"/>
      <x:c r="Y112" s="58"/>
      <x:c r="Z112" s="58"/>
    </x:row>
    <x:row r="113">
      <x:c r="A113" s="58"/>
      <x:c r="B113" s="58"/>
      <x:c r="C113" s="58"/>
      <x:c r="D113" s="58"/>
      <x:c r="E113" s="58"/>
      <x:c r="F113" s="58"/>
      <x:c r="G113" s="58"/>
      <x:c r="H113" s="58"/>
      <x:c r="I113" s="58"/>
      <x:c r="J113" s="58"/>
      <x:c r="K113" s="58"/>
      <x:c r="L113" s="58"/>
      <x:c r="M113" s="58"/>
      <x:c r="N113" s="58"/>
      <x:c r="O113" s="58"/>
      <x:c r="P113" s="58"/>
      <x:c r="Q113" s="58"/>
      <x:c r="R113" s="58"/>
      <x:c r="S113" s="58"/>
      <x:c r="T113" s="58"/>
      <x:c r="U113" s="58"/>
      <x:c r="V113" s="58"/>
      <x:c r="W113" s="58"/>
      <x:c r="X113" s="58"/>
      <x:c r="Y113" s="58"/>
      <x:c r="Z113" s="58"/>
    </x:row>
    <x:row r="114">
      <x:c r="A114" s="58"/>
      <x:c r="B114" s="58"/>
      <x:c r="C114" s="58"/>
      <x:c r="D114" s="58"/>
      <x:c r="E114" s="58"/>
      <x:c r="F114" s="58"/>
      <x:c r="G114" s="58"/>
      <x:c r="H114" s="58"/>
      <x:c r="I114" s="58"/>
      <x:c r="J114" s="58"/>
      <x:c r="K114" s="58"/>
      <x:c r="L114" s="58"/>
      <x:c r="M114" s="58"/>
      <x:c r="N114" s="58"/>
      <x:c r="O114" s="58"/>
      <x:c r="P114" s="58"/>
      <x:c r="Q114" s="58"/>
      <x:c r="R114" s="58"/>
      <x:c r="S114" s="58"/>
      <x:c r="T114" s="58"/>
      <x:c r="U114" s="58"/>
      <x:c r="V114" s="58"/>
      <x:c r="W114" s="58"/>
      <x:c r="X114" s="58"/>
      <x:c r="Y114" s="58"/>
      <x:c r="Z114" s="58"/>
    </x:row>
    <x:row r="115">
      <x:c r="A115" s="58"/>
      <x:c r="B115" s="58"/>
      <x:c r="C115" s="58"/>
      <x:c r="D115" s="58"/>
      <x:c r="E115" s="58"/>
      <x:c r="F115" s="58"/>
      <x:c r="G115" s="58"/>
      <x:c r="H115" s="58"/>
      <x:c r="I115" s="58"/>
      <x:c r="J115" s="58"/>
      <x:c r="K115" s="58"/>
      <x:c r="L115" s="58"/>
      <x:c r="M115" s="58"/>
      <x:c r="N115" s="58"/>
      <x:c r="O115" s="58"/>
      <x:c r="P115" s="58"/>
      <x:c r="Q115" s="58"/>
      <x:c r="R115" s="58"/>
      <x:c r="S115" s="58"/>
      <x:c r="T115" s="58"/>
      <x:c r="U115" s="58"/>
      <x:c r="V115" s="58"/>
      <x:c r="W115" s="58"/>
      <x:c r="X115" s="58"/>
      <x:c r="Y115" s="58"/>
      <x:c r="Z115" s="58"/>
    </x:row>
    <x:row r="116">
      <x:c r="A116" s="58"/>
      <x:c r="B116" s="58"/>
      <x:c r="C116" s="58"/>
      <x:c r="D116" s="58"/>
      <x:c r="E116" s="58"/>
      <x:c r="F116" s="58"/>
      <x:c r="G116" s="58"/>
      <x:c r="H116" s="58"/>
      <x:c r="I116" s="58"/>
      <x:c r="J116" s="58"/>
      <x:c r="K116" s="58"/>
      <x:c r="L116" s="58"/>
      <x:c r="M116" s="58"/>
      <x:c r="N116" s="58"/>
      <x:c r="O116" s="58"/>
      <x:c r="P116" s="58"/>
      <x:c r="Q116" s="58"/>
      <x:c r="R116" s="58"/>
      <x:c r="S116" s="58"/>
      <x:c r="T116" s="58"/>
      <x:c r="U116" s="58"/>
      <x:c r="V116" s="58"/>
      <x:c r="W116" s="58"/>
      <x:c r="X116" s="58"/>
      <x:c r="Y116" s="58"/>
      <x:c r="Z116" s="58"/>
    </x:row>
    <x:row r="117">
      <x:c r="A117" s="58"/>
      <x:c r="B117" s="58"/>
      <x:c r="C117" s="58"/>
      <x:c r="D117" s="58"/>
      <x:c r="E117" s="58"/>
      <x:c r="F117" s="58"/>
      <x:c r="G117" s="58"/>
      <x:c r="H117" s="58"/>
      <x:c r="I117" s="58"/>
      <x:c r="J117" s="58"/>
      <x:c r="K117" s="58"/>
      <x:c r="L117" s="58"/>
      <x:c r="M117" s="58"/>
      <x:c r="N117" s="58"/>
      <x:c r="O117" s="58"/>
      <x:c r="P117" s="58"/>
      <x:c r="Q117" s="58"/>
      <x:c r="R117" s="58"/>
      <x:c r="S117" s="58"/>
      <x:c r="T117" s="58"/>
      <x:c r="U117" s="58"/>
      <x:c r="V117" s="58"/>
      <x:c r="W117" s="58"/>
      <x:c r="X117" s="58"/>
      <x:c r="Y117" s="58"/>
      <x:c r="Z117" s="58"/>
    </x:row>
    <x:row r="118">
      <x:c r="A118" s="58"/>
      <x:c r="B118" s="58"/>
      <x:c r="C118" s="58"/>
      <x:c r="D118" s="58"/>
      <x:c r="E118" s="58"/>
      <x:c r="F118" s="58"/>
      <x:c r="G118" s="58"/>
      <x:c r="H118" s="58"/>
      <x:c r="I118" s="58"/>
      <x:c r="J118" s="58"/>
      <x:c r="K118" s="58"/>
      <x:c r="L118" s="58"/>
      <x:c r="M118" s="58"/>
      <x:c r="N118" s="58"/>
      <x:c r="O118" s="58"/>
      <x:c r="P118" s="58"/>
      <x:c r="Q118" s="58"/>
      <x:c r="R118" s="58"/>
      <x:c r="S118" s="58"/>
      <x:c r="T118" s="58"/>
      <x:c r="U118" s="58"/>
      <x:c r="V118" s="58"/>
      <x:c r="W118" s="58"/>
      <x:c r="X118" s="58"/>
      <x:c r="Y118" s="58"/>
      <x:c r="Z118" s="58"/>
    </x:row>
    <x:row r="119">
      <x:c r="A119" s="58"/>
      <x:c r="B119" s="58"/>
      <x:c r="C119" s="58"/>
      <x:c r="D119" s="58"/>
      <x:c r="E119" s="58"/>
      <x:c r="F119" s="58"/>
      <x:c r="G119" s="58"/>
      <x:c r="H119" s="58"/>
      <x:c r="I119" s="58"/>
      <x:c r="J119" s="58"/>
      <x:c r="K119" s="58"/>
      <x:c r="L119" s="58"/>
      <x:c r="M119" s="58"/>
      <x:c r="N119" s="58"/>
      <x:c r="O119" s="58"/>
      <x:c r="P119" s="58"/>
      <x:c r="Q119" s="58"/>
      <x:c r="R119" s="58"/>
      <x:c r="S119" s="58"/>
      <x:c r="T119" s="58"/>
      <x:c r="U119" s="58"/>
      <x:c r="V119" s="58"/>
      <x:c r="W119" s="58"/>
      <x:c r="X119" s="58"/>
      <x:c r="Y119" s="58"/>
      <x:c r="Z119" s="58"/>
    </x:row>
    <x:row r="120">
      <x:c r="A120" s="58"/>
      <x:c r="B120" s="58"/>
      <x:c r="C120" s="58"/>
      <x:c r="D120" s="58"/>
      <x:c r="E120" s="58"/>
      <x:c r="F120" s="58"/>
      <x:c r="G120" s="58"/>
      <x:c r="H120" s="58"/>
      <x:c r="I120" s="58"/>
      <x:c r="J120" s="58"/>
      <x:c r="K120" s="58"/>
      <x:c r="L120" s="58"/>
      <x:c r="M120" s="58"/>
      <x:c r="N120" s="58"/>
      <x:c r="O120" s="58"/>
      <x:c r="P120" s="58"/>
      <x:c r="Q120" s="58"/>
      <x:c r="R120" s="58"/>
      <x:c r="S120" s="58"/>
      <x:c r="T120" s="58"/>
      <x:c r="U120" s="58"/>
      <x:c r="V120" s="58"/>
      <x:c r="W120" s="58"/>
      <x:c r="X120" s="58"/>
      <x:c r="Y120" s="58"/>
      <x:c r="Z120" s="58"/>
    </x:row>
    <x:row r="121">
      <x:c r="A121" s="58"/>
      <x:c r="B121" s="58"/>
      <x:c r="C121" s="58"/>
      <x:c r="D121" s="58"/>
      <x:c r="E121" s="58"/>
      <x:c r="F121" s="58"/>
      <x:c r="G121" s="58"/>
      <x:c r="H121" s="58"/>
      <x:c r="I121" s="58"/>
      <x:c r="J121" s="58"/>
      <x:c r="K121" s="58"/>
      <x:c r="L121" s="58"/>
      <x:c r="M121" s="58"/>
      <x:c r="N121" s="58"/>
      <x:c r="O121" s="58"/>
      <x:c r="P121" s="58"/>
      <x:c r="Q121" s="58"/>
      <x:c r="R121" s="58"/>
      <x:c r="S121" s="58"/>
      <x:c r="T121" s="58"/>
      <x:c r="U121" s="58"/>
      <x:c r="V121" s="58"/>
      <x:c r="W121" s="58"/>
      <x:c r="X121" s="58"/>
      <x:c r="Y121" s="58"/>
      <x:c r="Z121" s="58"/>
    </x:row>
    <x:row r="122">
      <x:c r="A122" s="58"/>
      <x:c r="B122" s="58"/>
      <x:c r="C122" s="58"/>
      <x:c r="D122" s="58"/>
      <x:c r="E122" s="58"/>
      <x:c r="F122" s="58"/>
      <x:c r="G122" s="58"/>
      <x:c r="H122" s="58"/>
      <x:c r="I122" s="58"/>
      <x:c r="J122" s="58"/>
      <x:c r="K122" s="58"/>
      <x:c r="L122" s="58"/>
      <x:c r="M122" s="58"/>
      <x:c r="N122" s="58"/>
      <x:c r="O122" s="58"/>
      <x:c r="P122" s="58"/>
      <x:c r="Q122" s="58"/>
      <x:c r="R122" s="58"/>
      <x:c r="S122" s="58"/>
      <x:c r="T122" s="58"/>
      <x:c r="U122" s="58"/>
      <x:c r="V122" s="58"/>
      <x:c r="W122" s="58"/>
      <x:c r="X122" s="58"/>
      <x:c r="Y122" s="58"/>
      <x:c r="Z122" s="58"/>
    </x:row>
    <x:row r="123">
      <x:c r="A123" s="58"/>
      <x:c r="B123" s="58"/>
      <x:c r="C123" s="58"/>
      <x:c r="D123" s="58"/>
      <x:c r="E123" s="58"/>
      <x:c r="F123" s="58"/>
      <x:c r="G123" s="58"/>
      <x:c r="H123" s="58"/>
      <x:c r="I123" s="58"/>
      <x:c r="J123" s="58"/>
      <x:c r="K123" s="58"/>
      <x:c r="L123" s="58"/>
      <x:c r="M123" s="58"/>
      <x:c r="N123" s="58"/>
      <x:c r="O123" s="58"/>
      <x:c r="P123" s="58"/>
      <x:c r="Q123" s="58"/>
      <x:c r="R123" s="58"/>
      <x:c r="S123" s="58"/>
      <x:c r="T123" s="58"/>
      <x:c r="U123" s="58"/>
      <x:c r="V123" s="58"/>
      <x:c r="W123" s="58"/>
      <x:c r="X123" s="58"/>
      <x:c r="Y123" s="58"/>
      <x:c r="Z123" s="58"/>
    </x:row>
    <x:row r="124">
      <x:c r="A124" s="58"/>
      <x:c r="B124" s="58"/>
      <x:c r="C124" s="58"/>
      <x:c r="D124" s="58"/>
      <x:c r="E124" s="58"/>
      <x:c r="F124" s="58"/>
      <x:c r="G124" s="58"/>
      <x:c r="H124" s="58"/>
      <x:c r="I124" s="58"/>
      <x:c r="J124" s="58"/>
      <x:c r="K124" s="58"/>
      <x:c r="L124" s="58"/>
      <x:c r="M124" s="58"/>
      <x:c r="N124" s="58"/>
      <x:c r="O124" s="58"/>
      <x:c r="P124" s="58"/>
      <x:c r="Q124" s="58"/>
      <x:c r="R124" s="58"/>
      <x:c r="S124" s="58"/>
      <x:c r="T124" s="58"/>
      <x:c r="U124" s="58"/>
      <x:c r="V124" s="58"/>
      <x:c r="W124" s="58"/>
      <x:c r="X124" s="58"/>
      <x:c r="Y124" s="58"/>
      <x:c r="Z124" s="58"/>
    </x:row>
    <x:row r="125">
      <x:c r="A125" s="58"/>
      <x:c r="B125" s="58"/>
      <x:c r="C125" s="58"/>
      <x:c r="D125" s="58"/>
      <x:c r="E125" s="58"/>
      <x:c r="F125" s="58"/>
      <x:c r="G125" s="58"/>
      <x:c r="H125" s="58"/>
      <x:c r="I125" s="58"/>
      <x:c r="J125" s="58"/>
      <x:c r="K125" s="58"/>
      <x:c r="L125" s="58"/>
      <x:c r="M125" s="58"/>
      <x:c r="N125" s="58"/>
      <x:c r="O125" s="58"/>
      <x:c r="P125" s="58"/>
      <x:c r="Q125" s="58"/>
      <x:c r="R125" s="58"/>
      <x:c r="S125" s="58"/>
      <x:c r="T125" s="58"/>
      <x:c r="U125" s="58"/>
      <x:c r="V125" s="58"/>
      <x:c r="W125" s="58"/>
      <x:c r="X125" s="58"/>
      <x:c r="Y125" s="58"/>
      <x:c r="Z125" s="58"/>
    </x:row>
    <x:row r="126">
      <x:c r="A126" s="58"/>
      <x:c r="B126" s="58"/>
      <x:c r="C126" s="58"/>
      <x:c r="D126" s="58"/>
      <x:c r="E126" s="58"/>
      <x:c r="F126" s="58"/>
      <x:c r="G126" s="58"/>
      <x:c r="H126" s="58"/>
      <x:c r="I126" s="58"/>
      <x:c r="J126" s="58"/>
      <x:c r="K126" s="58"/>
      <x:c r="L126" s="58"/>
      <x:c r="M126" s="58"/>
      <x:c r="N126" s="58"/>
      <x:c r="O126" s="58"/>
      <x:c r="P126" s="58"/>
      <x:c r="Q126" s="58"/>
      <x:c r="R126" s="58"/>
      <x:c r="S126" s="58"/>
      <x:c r="T126" s="58"/>
      <x:c r="U126" s="58"/>
      <x:c r="V126" s="58"/>
      <x:c r="W126" s="58"/>
      <x:c r="X126" s="58"/>
      <x:c r="Y126" s="58"/>
      <x:c r="Z126" s="58"/>
    </x:row>
    <x:row r="127">
      <x:c r="A127" s="58"/>
      <x:c r="B127" s="58"/>
      <x:c r="C127" s="58"/>
      <x:c r="D127" s="58"/>
      <x:c r="E127" s="58"/>
      <x:c r="F127" s="58"/>
      <x:c r="G127" s="58"/>
      <x:c r="H127" s="58"/>
      <x:c r="I127" s="58"/>
      <x:c r="J127" s="58"/>
      <x:c r="K127" s="58"/>
      <x:c r="L127" s="58"/>
      <x:c r="M127" s="58"/>
      <x:c r="N127" s="58"/>
      <x:c r="O127" s="58"/>
      <x:c r="P127" s="58"/>
      <x:c r="Q127" s="58"/>
      <x:c r="R127" s="58"/>
      <x:c r="S127" s="58"/>
      <x:c r="T127" s="58"/>
      <x:c r="U127" s="58"/>
      <x:c r="V127" s="58"/>
      <x:c r="W127" s="58"/>
      <x:c r="X127" s="58"/>
      <x:c r="Y127" s="58"/>
      <x:c r="Z127" s="58"/>
    </x:row>
    <x:row r="128">
      <x:c r="A128" s="58"/>
      <x:c r="B128" s="58"/>
      <x:c r="C128" s="58"/>
      <x:c r="D128" s="58"/>
      <x:c r="E128" s="58"/>
      <x:c r="F128" s="58"/>
      <x:c r="G128" s="58"/>
      <x:c r="H128" s="58"/>
      <x:c r="I128" s="58"/>
      <x:c r="J128" s="58"/>
      <x:c r="K128" s="58"/>
      <x:c r="L128" s="58"/>
      <x:c r="M128" s="58"/>
      <x:c r="N128" s="58"/>
      <x:c r="O128" s="58"/>
      <x:c r="P128" s="58"/>
      <x:c r="Q128" s="58"/>
      <x:c r="R128" s="58"/>
      <x:c r="S128" s="58"/>
      <x:c r="T128" s="58"/>
      <x:c r="U128" s="58"/>
      <x:c r="V128" s="58"/>
      <x:c r="W128" s="58"/>
      <x:c r="X128" s="58"/>
      <x:c r="Y128" s="58"/>
      <x:c r="Z128" s="58"/>
    </x:row>
    <x:row r="129">
      <x:c r="A129" s="58"/>
      <x:c r="B129" s="58"/>
      <x:c r="C129" s="58"/>
      <x:c r="D129" s="58"/>
      <x:c r="E129" s="58"/>
      <x:c r="F129" s="58"/>
      <x:c r="G129" s="58"/>
      <x:c r="H129" s="58"/>
      <x:c r="I129" s="58"/>
      <x:c r="J129" s="58"/>
      <x:c r="K129" s="58"/>
      <x:c r="L129" s="58"/>
      <x:c r="M129" s="58"/>
      <x:c r="N129" s="58"/>
      <x:c r="O129" s="58"/>
      <x:c r="P129" s="58"/>
      <x:c r="Q129" s="58"/>
      <x:c r="R129" s="58"/>
      <x:c r="S129" s="58"/>
      <x:c r="T129" s="58"/>
      <x:c r="U129" s="58"/>
      <x:c r="V129" s="58"/>
      <x:c r="W129" s="58"/>
      <x:c r="X129" s="58"/>
      <x:c r="Y129" s="58"/>
      <x:c r="Z129" s="58"/>
    </x:row>
    <x:row r="130">
      <x:c r="A130" s="58"/>
      <x:c r="B130" s="58"/>
      <x:c r="C130" s="58"/>
      <x:c r="D130" s="58"/>
      <x:c r="E130" s="58"/>
      <x:c r="F130" s="58"/>
      <x:c r="G130" s="58"/>
      <x:c r="H130" s="58"/>
      <x:c r="I130" s="58"/>
      <x:c r="J130" s="58"/>
      <x:c r="K130" s="58"/>
      <x:c r="L130" s="58"/>
      <x:c r="M130" s="58"/>
      <x:c r="N130" s="58"/>
      <x:c r="O130" s="58"/>
      <x:c r="P130" s="58"/>
      <x:c r="Q130" s="58"/>
      <x:c r="R130" s="58"/>
      <x:c r="S130" s="58"/>
      <x:c r="T130" s="58"/>
      <x:c r="U130" s="58"/>
      <x:c r="V130" s="58"/>
      <x:c r="W130" s="58"/>
      <x:c r="X130" s="58"/>
      <x:c r="Y130" s="58"/>
      <x:c r="Z130" s="58"/>
    </x:row>
    <x:row r="131">
      <x:c r="A131" s="58"/>
      <x:c r="B131" s="58"/>
      <x:c r="C131" s="58"/>
      <x:c r="D131" s="58"/>
      <x:c r="E131" s="58"/>
      <x:c r="F131" s="58"/>
      <x:c r="G131" s="58"/>
      <x:c r="H131" s="58"/>
      <x:c r="I131" s="58"/>
      <x:c r="J131" s="58"/>
      <x:c r="K131" s="58"/>
      <x:c r="L131" s="58"/>
      <x:c r="M131" s="58"/>
      <x:c r="N131" s="58"/>
      <x:c r="O131" s="58"/>
      <x:c r="P131" s="58"/>
      <x:c r="Q131" s="58"/>
      <x:c r="R131" s="58"/>
      <x:c r="S131" s="58"/>
      <x:c r="T131" s="58"/>
      <x:c r="U131" s="58"/>
      <x:c r="V131" s="58"/>
      <x:c r="W131" s="58"/>
      <x:c r="X131" s="58"/>
      <x:c r="Y131" s="58"/>
      <x:c r="Z131" s="58"/>
    </x:row>
    <x:row r="132">
      <x:c r="A132" s="58"/>
      <x:c r="B132" s="58"/>
      <x:c r="C132" s="58"/>
      <x:c r="D132" s="58"/>
      <x:c r="E132" s="58"/>
      <x:c r="F132" s="58"/>
      <x:c r="G132" s="58"/>
      <x:c r="H132" s="58"/>
      <x:c r="I132" s="58"/>
      <x:c r="J132" s="58"/>
      <x:c r="K132" s="58"/>
      <x:c r="L132" s="58"/>
      <x:c r="M132" s="58"/>
      <x:c r="N132" s="58"/>
      <x:c r="O132" s="58"/>
      <x:c r="P132" s="58"/>
      <x:c r="Q132" s="58"/>
      <x:c r="R132" s="58"/>
      <x:c r="S132" s="58"/>
      <x:c r="T132" s="58"/>
      <x:c r="U132" s="58"/>
      <x:c r="V132" s="58"/>
      <x:c r="W132" s="58"/>
      <x:c r="X132" s="58"/>
      <x:c r="Y132" s="58"/>
      <x:c r="Z132" s="58"/>
    </x:row>
    <x:row r="133">
      <x:c r="A133" s="58"/>
      <x:c r="B133" s="58"/>
      <x:c r="C133" s="58"/>
      <x:c r="D133" s="58"/>
      <x:c r="E133" s="58"/>
      <x:c r="F133" s="58"/>
      <x:c r="G133" s="58"/>
      <x:c r="H133" s="58"/>
      <x:c r="I133" s="58"/>
      <x:c r="J133" s="58"/>
      <x:c r="K133" s="58"/>
      <x:c r="L133" s="58"/>
      <x:c r="M133" s="58"/>
      <x:c r="N133" s="58"/>
      <x:c r="O133" s="58"/>
      <x:c r="P133" s="58"/>
      <x:c r="Q133" s="58"/>
      <x:c r="R133" s="58"/>
      <x:c r="S133" s="58"/>
      <x:c r="T133" s="58"/>
      <x:c r="U133" s="58"/>
      <x:c r="V133" s="58"/>
      <x:c r="W133" s="58"/>
      <x:c r="X133" s="58"/>
      <x:c r="Y133" s="58"/>
      <x:c r="Z133" s="58"/>
    </x:row>
    <x:row r="134">
      <x:c r="A134" s="58"/>
      <x:c r="B134" s="58"/>
      <x:c r="C134" s="58"/>
      <x:c r="D134" s="58"/>
      <x:c r="E134" s="58"/>
      <x:c r="F134" s="58"/>
      <x:c r="G134" s="58"/>
      <x:c r="H134" s="58"/>
      <x:c r="I134" s="58"/>
      <x:c r="J134" s="58"/>
      <x:c r="K134" s="58"/>
      <x:c r="L134" s="58"/>
      <x:c r="M134" s="58"/>
      <x:c r="N134" s="58"/>
      <x:c r="O134" s="58"/>
      <x:c r="P134" s="58"/>
      <x:c r="Q134" s="58"/>
      <x:c r="R134" s="58"/>
      <x:c r="S134" s="58"/>
      <x:c r="T134" s="58"/>
      <x:c r="U134" s="58"/>
      <x:c r="V134" s="58"/>
      <x:c r="W134" s="58"/>
      <x:c r="X134" s="58"/>
      <x:c r="Y134" s="58"/>
      <x:c r="Z134" s="58"/>
    </x:row>
    <x:row r="135">
      <x:c r="A135" s="58"/>
      <x:c r="B135" s="58"/>
      <x:c r="C135" s="58"/>
      <x:c r="D135" s="58"/>
      <x:c r="E135" s="58"/>
      <x:c r="F135" s="58"/>
      <x:c r="G135" s="58"/>
      <x:c r="H135" s="58"/>
      <x:c r="I135" s="58"/>
      <x:c r="J135" s="58"/>
      <x:c r="K135" s="58"/>
      <x:c r="L135" s="58"/>
      <x:c r="M135" s="58"/>
      <x:c r="N135" s="58"/>
      <x:c r="O135" s="58"/>
      <x:c r="P135" s="58"/>
      <x:c r="Q135" s="58"/>
      <x:c r="R135" s="58"/>
      <x:c r="S135" s="58"/>
      <x:c r="T135" s="58"/>
      <x:c r="U135" s="58"/>
      <x:c r="V135" s="58"/>
      <x:c r="W135" s="58"/>
      <x:c r="X135" s="58"/>
      <x:c r="Y135" s="58"/>
      <x:c r="Z135" s="58"/>
    </x:row>
    <x:row r="136">
      <x:c r="A136" s="58"/>
      <x:c r="B136" s="58"/>
      <x:c r="C136" s="58"/>
      <x:c r="D136" s="58"/>
      <x:c r="E136" s="58"/>
      <x:c r="F136" s="58"/>
      <x:c r="G136" s="58"/>
      <x:c r="H136" s="58"/>
      <x:c r="I136" s="58"/>
      <x:c r="J136" s="58"/>
      <x:c r="K136" s="58"/>
      <x:c r="L136" s="58"/>
      <x:c r="M136" s="58"/>
      <x:c r="N136" s="58"/>
      <x:c r="O136" s="58"/>
      <x:c r="P136" s="58"/>
      <x:c r="Q136" s="58"/>
      <x:c r="R136" s="58"/>
      <x:c r="S136" s="58"/>
      <x:c r="T136" s="58"/>
      <x:c r="U136" s="58"/>
      <x:c r="V136" s="58"/>
      <x:c r="W136" s="58"/>
      <x:c r="X136" s="58"/>
      <x:c r="Y136" s="58"/>
      <x:c r="Z136" s="58"/>
    </x:row>
    <x:row r="137">
      <x:c r="A137" s="58"/>
      <x:c r="B137" s="58"/>
      <x:c r="C137" s="58"/>
      <x:c r="D137" s="58"/>
      <x:c r="E137" s="58"/>
      <x:c r="F137" s="58"/>
      <x:c r="G137" s="58"/>
      <x:c r="H137" s="58"/>
      <x:c r="I137" s="58"/>
      <x:c r="J137" s="58"/>
      <x:c r="K137" s="58"/>
      <x:c r="L137" s="58"/>
      <x:c r="M137" s="58"/>
      <x:c r="N137" s="58"/>
      <x:c r="O137" s="58"/>
      <x:c r="P137" s="58"/>
      <x:c r="Q137" s="58"/>
      <x:c r="R137" s="58"/>
      <x:c r="S137" s="58"/>
      <x:c r="T137" s="58"/>
      <x:c r="U137" s="58"/>
      <x:c r="V137" s="58"/>
      <x:c r="W137" s="58"/>
      <x:c r="X137" s="58"/>
      <x:c r="Y137" s="58"/>
      <x:c r="Z137" s="58"/>
    </x:row>
    <x:row r="138">
      <x:c r="A138" s="58"/>
      <x:c r="B138" s="58"/>
      <x:c r="C138" s="58"/>
      <x:c r="D138" s="58"/>
      <x:c r="E138" s="58"/>
      <x:c r="F138" s="58"/>
      <x:c r="G138" s="58"/>
      <x:c r="H138" s="58"/>
      <x:c r="I138" s="58"/>
      <x:c r="J138" s="58"/>
      <x:c r="K138" s="58"/>
      <x:c r="L138" s="58"/>
      <x:c r="M138" s="58"/>
      <x:c r="N138" s="58"/>
      <x:c r="O138" s="58"/>
      <x:c r="P138" s="58"/>
      <x:c r="Q138" s="58"/>
      <x:c r="R138" s="58"/>
      <x:c r="S138" s="58"/>
      <x:c r="T138" s="58"/>
      <x:c r="U138" s="58"/>
      <x:c r="V138" s="58"/>
      <x:c r="W138" s="58"/>
      <x:c r="X138" s="58"/>
      <x:c r="Y138" s="58"/>
      <x:c r="Z138" s="58"/>
    </x:row>
    <x:row r="139">
      <x:c r="A139" s="58"/>
      <x:c r="B139" s="58"/>
      <x:c r="C139" s="58"/>
      <x:c r="D139" s="58"/>
      <x:c r="E139" s="58"/>
      <x:c r="F139" s="58"/>
      <x:c r="G139" s="58"/>
      <x:c r="H139" s="58"/>
      <x:c r="I139" s="58"/>
      <x:c r="J139" s="58"/>
      <x:c r="K139" s="58"/>
      <x:c r="L139" s="58"/>
      <x:c r="M139" s="58"/>
      <x:c r="N139" s="58"/>
      <x:c r="O139" s="58"/>
      <x:c r="P139" s="58"/>
      <x:c r="Q139" s="58"/>
      <x:c r="R139" s="58"/>
      <x:c r="S139" s="58"/>
      <x:c r="T139" s="58"/>
      <x:c r="U139" s="58"/>
      <x:c r="V139" s="58"/>
      <x:c r="W139" s="58"/>
      <x:c r="X139" s="58"/>
      <x:c r="Y139" s="58"/>
      <x:c r="Z139" s="58"/>
    </x:row>
    <x:row r="140">
      <x:c r="A140" s="58"/>
      <x:c r="B140" s="58"/>
      <x:c r="C140" s="58"/>
      <x:c r="D140" s="58"/>
      <x:c r="E140" s="58"/>
      <x:c r="F140" s="58"/>
      <x:c r="G140" s="58"/>
      <x:c r="H140" s="58"/>
      <x:c r="I140" s="58"/>
      <x:c r="J140" s="58"/>
      <x:c r="K140" s="58"/>
      <x:c r="L140" s="58"/>
      <x:c r="M140" s="58"/>
      <x:c r="N140" s="58"/>
      <x:c r="O140" s="58"/>
      <x:c r="P140" s="58"/>
      <x:c r="Q140" s="58"/>
      <x:c r="R140" s="58"/>
      <x:c r="S140" s="58"/>
      <x:c r="T140" s="58"/>
      <x:c r="U140" s="58"/>
      <x:c r="V140" s="58"/>
      <x:c r="W140" s="58"/>
      <x:c r="X140" s="58"/>
      <x:c r="Y140" s="58"/>
      <x:c r="Z140" s="58"/>
    </x:row>
    <x:row r="141">
      <x:c r="A141" s="58"/>
      <x:c r="B141" s="58"/>
      <x:c r="C141" s="58"/>
      <x:c r="D141" s="58"/>
      <x:c r="E141" s="58"/>
      <x:c r="F141" s="58"/>
      <x:c r="G141" s="58"/>
      <x:c r="H141" s="58"/>
      <x:c r="I141" s="58"/>
      <x:c r="J141" s="58"/>
      <x:c r="K141" s="58"/>
      <x:c r="L141" s="58"/>
      <x:c r="M141" s="58"/>
      <x:c r="N141" s="58"/>
      <x:c r="O141" s="58"/>
      <x:c r="P141" s="58"/>
      <x:c r="Q141" s="58"/>
      <x:c r="R141" s="58"/>
      <x:c r="S141" s="58"/>
      <x:c r="T141" s="58"/>
      <x:c r="U141" s="58"/>
      <x:c r="V141" s="58"/>
      <x:c r="W141" s="58"/>
      <x:c r="X141" s="58"/>
      <x:c r="Y141" s="58"/>
      <x:c r="Z141" s="58"/>
    </x:row>
    <x:row r="142">
      <x:c r="A142" s="58"/>
      <x:c r="B142" s="58"/>
      <x:c r="C142" s="58"/>
      <x:c r="D142" s="58"/>
      <x:c r="E142" s="58"/>
      <x:c r="F142" s="58"/>
      <x:c r="G142" s="58"/>
      <x:c r="H142" s="58"/>
      <x:c r="I142" s="58"/>
      <x:c r="J142" s="58"/>
      <x:c r="K142" s="58"/>
      <x:c r="L142" s="58"/>
      <x:c r="M142" s="58"/>
      <x:c r="N142" s="58"/>
      <x:c r="O142" s="58"/>
      <x:c r="P142" s="58"/>
      <x:c r="Q142" s="58"/>
      <x:c r="R142" s="58"/>
      <x:c r="S142" s="58"/>
      <x:c r="T142" s="58"/>
      <x:c r="U142" s="58"/>
      <x:c r="V142" s="58"/>
      <x:c r="W142" s="58"/>
      <x:c r="X142" s="58"/>
      <x:c r="Y142" s="58"/>
      <x:c r="Z142" s="58"/>
    </x:row>
    <x:row r="143">
      <x:c r="A143" s="58"/>
      <x:c r="B143" s="58"/>
      <x:c r="C143" s="58"/>
      <x:c r="D143" s="58"/>
      <x:c r="E143" s="58"/>
      <x:c r="F143" s="58"/>
      <x:c r="G143" s="58"/>
      <x:c r="H143" s="58"/>
      <x:c r="I143" s="58"/>
      <x:c r="J143" s="58"/>
      <x:c r="K143" s="58"/>
      <x:c r="L143" s="58"/>
      <x:c r="M143" s="58"/>
      <x:c r="N143" s="58"/>
      <x:c r="O143" s="58"/>
      <x:c r="P143" s="58"/>
      <x:c r="Q143" s="58"/>
      <x:c r="R143" s="58"/>
      <x:c r="S143" s="58"/>
      <x:c r="T143" s="58"/>
      <x:c r="U143" s="58"/>
      <x:c r="V143" s="58"/>
      <x:c r="W143" s="58"/>
      <x:c r="X143" s="58"/>
      <x:c r="Y143" s="58"/>
      <x:c r="Z143" s="58"/>
    </x:row>
    <x:row r="144">
      <x:c r="A144" s="58"/>
      <x:c r="B144" s="58"/>
      <x:c r="C144" s="58"/>
      <x:c r="D144" s="58"/>
      <x:c r="E144" s="58"/>
      <x:c r="F144" s="58"/>
      <x:c r="G144" s="58"/>
      <x:c r="H144" s="58"/>
      <x:c r="I144" s="58"/>
      <x:c r="J144" s="58"/>
      <x:c r="K144" s="58"/>
      <x:c r="L144" s="58"/>
      <x:c r="M144" s="58"/>
      <x:c r="N144" s="58"/>
      <x:c r="O144" s="58"/>
      <x:c r="P144" s="58"/>
      <x:c r="Q144" s="58"/>
      <x:c r="R144" s="58"/>
      <x:c r="S144" s="58"/>
      <x:c r="T144" s="58"/>
      <x:c r="U144" s="58"/>
      <x:c r="V144" s="58"/>
      <x:c r="W144" s="58"/>
      <x:c r="X144" s="58"/>
      <x:c r="Y144" s="58"/>
      <x:c r="Z144" s="58"/>
    </x:row>
    <x:row r="145">
      <x:c r="A145" s="58"/>
      <x:c r="B145" s="58"/>
      <x:c r="C145" s="58"/>
      <x:c r="D145" s="58"/>
      <x:c r="E145" s="58"/>
      <x:c r="F145" s="58"/>
      <x:c r="G145" s="58"/>
      <x:c r="H145" s="58"/>
      <x:c r="I145" s="58"/>
      <x:c r="J145" s="58"/>
      <x:c r="K145" s="58"/>
      <x:c r="L145" s="58"/>
      <x:c r="M145" s="58"/>
      <x:c r="N145" s="58"/>
      <x:c r="O145" s="58"/>
      <x:c r="P145" s="58"/>
      <x:c r="Q145" s="58"/>
      <x:c r="R145" s="58"/>
      <x:c r="S145" s="58"/>
      <x:c r="T145" s="58"/>
      <x:c r="U145" s="58"/>
      <x:c r="V145" s="58"/>
      <x:c r="W145" s="58"/>
      <x:c r="X145" s="58"/>
      <x:c r="Y145" s="58"/>
      <x:c r="Z145" s="58"/>
    </x:row>
    <x:row r="146">
      <x:c r="A146" s="58"/>
      <x:c r="B146" s="58"/>
      <x:c r="C146" s="58"/>
      <x:c r="D146" s="58"/>
      <x:c r="E146" s="58"/>
      <x:c r="F146" s="58"/>
      <x:c r="G146" s="58"/>
      <x:c r="H146" s="58"/>
      <x:c r="I146" s="58"/>
      <x:c r="J146" s="58"/>
      <x:c r="K146" s="58"/>
      <x:c r="L146" s="58"/>
      <x:c r="M146" s="58"/>
      <x:c r="N146" s="58"/>
      <x:c r="O146" s="58"/>
      <x:c r="P146" s="58"/>
      <x:c r="Q146" s="58"/>
      <x:c r="R146" s="58"/>
      <x:c r="S146" s="58"/>
      <x:c r="T146" s="58"/>
      <x:c r="U146" s="58"/>
      <x:c r="V146" s="58"/>
      <x:c r="W146" s="58"/>
      <x:c r="X146" s="58"/>
      <x:c r="Y146" s="58"/>
      <x:c r="Z146" s="58"/>
    </x:row>
    <x:row r="147">
      <x:c r="A147" s="58"/>
      <x:c r="B147" s="58"/>
      <x:c r="C147" s="58"/>
      <x:c r="D147" s="58"/>
      <x:c r="E147" s="58"/>
      <x:c r="F147" s="58"/>
      <x:c r="G147" s="58"/>
      <x:c r="H147" s="58"/>
      <x:c r="I147" s="58"/>
      <x:c r="J147" s="58"/>
      <x:c r="K147" s="58"/>
      <x:c r="L147" s="58"/>
      <x:c r="M147" s="58"/>
      <x:c r="N147" s="58"/>
      <x:c r="O147" s="58"/>
      <x:c r="P147" s="58"/>
      <x:c r="Q147" s="58"/>
      <x:c r="R147" s="58"/>
      <x:c r="S147" s="58"/>
      <x:c r="T147" s="58"/>
      <x:c r="U147" s="58"/>
      <x:c r="V147" s="58"/>
      <x:c r="W147" s="58"/>
      <x:c r="X147" s="58"/>
      <x:c r="Y147" s="58"/>
      <x:c r="Z147" s="58"/>
    </x:row>
    <x:row r="148">
      <x:c r="A148" s="58"/>
      <x:c r="B148" s="58"/>
      <x:c r="C148" s="58"/>
      <x:c r="D148" s="58"/>
      <x:c r="E148" s="58"/>
      <x:c r="F148" s="58"/>
      <x:c r="G148" s="58"/>
      <x:c r="H148" s="58"/>
      <x:c r="I148" s="58"/>
      <x:c r="J148" s="58"/>
      <x:c r="K148" s="58"/>
      <x:c r="L148" s="58"/>
      <x:c r="M148" s="58"/>
      <x:c r="N148" s="58"/>
      <x:c r="O148" s="58"/>
      <x:c r="P148" s="58"/>
      <x:c r="Q148" s="58"/>
      <x:c r="R148" s="58"/>
      <x:c r="S148" s="58"/>
      <x:c r="T148" s="58"/>
      <x:c r="U148" s="58"/>
      <x:c r="V148" s="58"/>
      <x:c r="W148" s="58"/>
      <x:c r="X148" s="58"/>
      <x:c r="Y148" s="58"/>
      <x:c r="Z148" s="58"/>
    </x:row>
    <x:row r="149">
      <x:c r="A149" s="58"/>
      <x:c r="B149" s="58"/>
      <x:c r="C149" s="58"/>
      <x:c r="D149" s="58"/>
      <x:c r="E149" s="58"/>
      <x:c r="F149" s="58"/>
      <x:c r="G149" s="58"/>
      <x:c r="H149" s="58"/>
      <x:c r="I149" s="58"/>
      <x:c r="J149" s="58"/>
      <x:c r="K149" s="58"/>
      <x:c r="L149" s="58"/>
      <x:c r="M149" s="58"/>
      <x:c r="N149" s="58"/>
      <x:c r="O149" s="58"/>
      <x:c r="P149" s="58"/>
      <x:c r="Q149" s="58"/>
      <x:c r="R149" s="58"/>
      <x:c r="S149" s="58"/>
      <x:c r="T149" s="58"/>
      <x:c r="U149" s="58"/>
      <x:c r="V149" s="58"/>
      <x:c r="W149" s="58"/>
      <x:c r="X149" s="58"/>
      <x:c r="Y149" s="58"/>
      <x:c r="Z149" s="58"/>
    </x:row>
    <x:row r="150">
      <x:c r="A150" s="58"/>
      <x:c r="B150" s="58"/>
      <x:c r="C150" s="58"/>
      <x:c r="D150" s="58"/>
      <x:c r="E150" s="58"/>
      <x:c r="F150" s="58"/>
      <x:c r="G150" s="58"/>
      <x:c r="H150" s="58"/>
      <x:c r="I150" s="58"/>
      <x:c r="J150" s="58"/>
      <x:c r="K150" s="58"/>
      <x:c r="L150" s="58"/>
      <x:c r="M150" s="58"/>
      <x:c r="N150" s="58"/>
      <x:c r="O150" s="58"/>
      <x:c r="P150" s="58"/>
      <x:c r="Q150" s="58"/>
      <x:c r="R150" s="58"/>
      <x:c r="S150" s="58"/>
      <x:c r="T150" s="58"/>
      <x:c r="U150" s="58"/>
      <x:c r="V150" s="58"/>
      <x:c r="W150" s="58"/>
      <x:c r="X150" s="58"/>
      <x:c r="Y150" s="58"/>
      <x:c r="Z150" s="58"/>
    </x:row>
    <x:row r="151">
      <x:c r="A151" s="58"/>
      <x:c r="B151" s="58"/>
      <x:c r="C151" s="58"/>
      <x:c r="D151" s="58"/>
      <x:c r="E151" s="58"/>
      <x:c r="F151" s="58"/>
      <x:c r="G151" s="58"/>
      <x:c r="H151" s="58"/>
      <x:c r="I151" s="58"/>
      <x:c r="J151" s="58"/>
      <x:c r="K151" s="58"/>
      <x:c r="L151" s="58"/>
      <x:c r="M151" s="58"/>
      <x:c r="N151" s="58"/>
      <x:c r="O151" s="58"/>
      <x:c r="P151" s="58"/>
      <x:c r="Q151" s="58"/>
      <x:c r="R151" s="58"/>
      <x:c r="S151" s="58"/>
      <x:c r="T151" s="58"/>
      <x:c r="U151" s="58"/>
      <x:c r="V151" s="58"/>
      <x:c r="W151" s="58"/>
      <x:c r="X151" s="58"/>
      <x:c r="Y151" s="58"/>
      <x:c r="Z151" s="58"/>
    </x:row>
    <x:row r="152">
      <x:c r="A152" s="58"/>
      <x:c r="B152" s="58"/>
      <x:c r="C152" s="58"/>
      <x:c r="D152" s="58"/>
      <x:c r="E152" s="58"/>
      <x:c r="F152" s="58"/>
      <x:c r="G152" s="58"/>
      <x:c r="H152" s="58"/>
      <x:c r="I152" s="58"/>
      <x:c r="J152" s="58"/>
      <x:c r="K152" s="58"/>
      <x:c r="L152" s="58"/>
      <x:c r="M152" s="58"/>
      <x:c r="N152" s="58"/>
      <x:c r="O152" s="58"/>
      <x:c r="P152" s="58"/>
      <x:c r="Q152" s="58"/>
      <x:c r="R152" s="58"/>
      <x:c r="S152" s="58"/>
      <x:c r="T152" s="58"/>
      <x:c r="U152" s="58"/>
      <x:c r="V152" s="58"/>
      <x:c r="W152" s="58"/>
      <x:c r="X152" s="58"/>
      <x:c r="Y152" s="58"/>
      <x:c r="Z152" s="58"/>
    </x:row>
    <x:row r="153">
      <x:c r="A153" s="58"/>
      <x:c r="B153" s="58"/>
      <x:c r="C153" s="58"/>
      <x:c r="D153" s="58"/>
      <x:c r="E153" s="58"/>
      <x:c r="F153" s="58"/>
      <x:c r="G153" s="58"/>
      <x:c r="H153" s="58"/>
      <x:c r="I153" s="58"/>
      <x:c r="J153" s="58"/>
      <x:c r="K153" s="58"/>
      <x:c r="L153" s="58"/>
      <x:c r="M153" s="58"/>
      <x:c r="N153" s="58"/>
      <x:c r="O153" s="58"/>
      <x:c r="P153" s="58"/>
      <x:c r="Q153" s="58"/>
      <x:c r="R153" s="58"/>
      <x:c r="S153" s="58"/>
      <x:c r="T153" s="58"/>
      <x:c r="U153" s="58"/>
      <x:c r="V153" s="58"/>
      <x:c r="W153" s="58"/>
      <x:c r="X153" s="58"/>
      <x:c r="Y153" s="58"/>
      <x:c r="Z153" s="58"/>
    </x:row>
    <x:row r="154">
      <x:c r="A154" s="58"/>
      <x:c r="B154" s="58"/>
      <x:c r="C154" s="58"/>
      <x:c r="D154" s="58"/>
      <x:c r="E154" s="58"/>
      <x:c r="F154" s="58"/>
      <x:c r="G154" s="58"/>
      <x:c r="H154" s="58"/>
      <x:c r="I154" s="58"/>
      <x:c r="J154" s="58"/>
      <x:c r="K154" s="58"/>
      <x:c r="L154" s="58"/>
      <x:c r="M154" s="58"/>
      <x:c r="N154" s="58"/>
      <x:c r="O154" s="58"/>
      <x:c r="P154" s="58"/>
      <x:c r="Q154" s="58"/>
      <x:c r="R154" s="58"/>
      <x:c r="S154" s="58"/>
      <x:c r="T154" s="58"/>
      <x:c r="U154" s="58"/>
      <x:c r="V154" s="58"/>
      <x:c r="W154" s="58"/>
      <x:c r="X154" s="58"/>
      <x:c r="Y154" s="58"/>
      <x:c r="Z154" s="58"/>
    </x:row>
    <x:row r="155">
      <x:c r="A155" s="58"/>
      <x:c r="B155" s="58"/>
      <x:c r="C155" s="58"/>
      <x:c r="D155" s="58"/>
      <x:c r="E155" s="58"/>
      <x:c r="F155" s="58"/>
      <x:c r="G155" s="58"/>
      <x:c r="H155" s="58"/>
      <x:c r="I155" s="58"/>
      <x:c r="J155" s="58"/>
      <x:c r="K155" s="58"/>
      <x:c r="L155" s="58"/>
      <x:c r="M155" s="58"/>
      <x:c r="N155" s="58"/>
      <x:c r="O155" s="58"/>
      <x:c r="P155" s="58"/>
      <x:c r="Q155" s="58"/>
      <x:c r="R155" s="58"/>
      <x:c r="S155" s="58"/>
      <x:c r="T155" s="58"/>
      <x:c r="U155" s="58"/>
      <x:c r="V155" s="58"/>
      <x:c r="W155" s="58"/>
      <x:c r="X155" s="58"/>
      <x:c r="Y155" s="58"/>
      <x:c r="Z155" s="58"/>
    </x:row>
    <x:row r="156">
      <x:c r="A156" s="58"/>
      <x:c r="B156" s="58"/>
      <x:c r="C156" s="58"/>
      <x:c r="D156" s="58"/>
      <x:c r="E156" s="58"/>
      <x:c r="F156" s="58"/>
      <x:c r="G156" s="58"/>
      <x:c r="H156" s="58"/>
      <x:c r="I156" s="58"/>
      <x:c r="J156" s="58"/>
      <x:c r="K156" s="58"/>
      <x:c r="L156" s="58"/>
      <x:c r="M156" s="58"/>
      <x:c r="N156" s="58"/>
      <x:c r="O156" s="58"/>
      <x:c r="P156" s="58"/>
      <x:c r="Q156" s="58"/>
      <x:c r="R156" s="58"/>
      <x:c r="S156" s="58"/>
      <x:c r="T156" s="58"/>
      <x:c r="U156" s="58"/>
      <x:c r="V156" s="58"/>
      <x:c r="W156" s="58"/>
      <x:c r="X156" s="58"/>
      <x:c r="Y156" s="58"/>
      <x:c r="Z156" s="58"/>
    </x:row>
    <x:row r="157">
      <x:c r="A157" s="58"/>
      <x:c r="B157" s="58"/>
      <x:c r="C157" s="58"/>
      <x:c r="D157" s="58"/>
      <x:c r="E157" s="58"/>
      <x:c r="F157" s="58"/>
      <x:c r="G157" s="58"/>
      <x:c r="H157" s="58"/>
      <x:c r="I157" s="58"/>
      <x:c r="J157" s="58"/>
      <x:c r="K157" s="58"/>
      <x:c r="L157" s="58"/>
      <x:c r="M157" s="58"/>
      <x:c r="N157" s="58"/>
      <x:c r="O157" s="58"/>
      <x:c r="P157" s="58"/>
      <x:c r="Q157" s="58"/>
      <x:c r="R157" s="58"/>
      <x:c r="S157" s="58"/>
      <x:c r="T157" s="58"/>
      <x:c r="U157" s="58"/>
      <x:c r="V157" s="58"/>
      <x:c r="W157" s="58"/>
      <x:c r="X157" s="58"/>
      <x:c r="Y157" s="58"/>
      <x:c r="Z157" s="58"/>
    </x:row>
    <x:row r="158">
      <x:c r="A158" s="58"/>
      <x:c r="B158" s="58"/>
      <x:c r="C158" s="58"/>
      <x:c r="D158" s="58"/>
      <x:c r="E158" s="58"/>
      <x:c r="F158" s="58"/>
      <x:c r="G158" s="58"/>
      <x:c r="H158" s="58"/>
      <x:c r="I158" s="58"/>
      <x:c r="J158" s="58"/>
      <x:c r="K158" s="58"/>
      <x:c r="L158" s="58"/>
      <x:c r="M158" s="58"/>
      <x:c r="N158" s="58"/>
      <x:c r="O158" s="58"/>
      <x:c r="P158" s="58"/>
      <x:c r="Q158" s="58"/>
      <x:c r="R158" s="58"/>
      <x:c r="S158" s="58"/>
      <x:c r="T158" s="58"/>
      <x:c r="U158" s="58"/>
      <x:c r="V158" s="58"/>
      <x:c r="W158" s="58"/>
      <x:c r="X158" s="58"/>
      <x:c r="Y158" s="58"/>
      <x:c r="Z158" s="58"/>
    </x:row>
    <x:row r="159">
      <x:c r="A159" s="58"/>
      <x:c r="B159" s="58"/>
      <x:c r="C159" s="58"/>
      <x:c r="D159" s="58"/>
      <x:c r="E159" s="58"/>
      <x:c r="F159" s="58"/>
      <x:c r="G159" s="58"/>
      <x:c r="H159" s="58"/>
      <x:c r="I159" s="58"/>
      <x:c r="J159" s="58"/>
      <x:c r="K159" s="58"/>
      <x:c r="L159" s="58"/>
      <x:c r="M159" s="58"/>
      <x:c r="N159" s="58"/>
      <x:c r="O159" s="58"/>
      <x:c r="P159" s="58"/>
      <x:c r="Q159" s="58"/>
      <x:c r="R159" s="58"/>
      <x:c r="S159" s="58"/>
      <x:c r="T159" s="58"/>
      <x:c r="U159" s="58"/>
      <x:c r="V159" s="58"/>
      <x:c r="W159" s="58"/>
      <x:c r="X159" s="58"/>
      <x:c r="Y159" s="58"/>
      <x:c r="Z159" s="58"/>
    </x:row>
    <x:row r="160">
      <x:c r="A160" s="58"/>
      <x:c r="B160" s="58"/>
      <x:c r="C160" s="58"/>
      <x:c r="D160" s="58"/>
      <x:c r="E160" s="58"/>
      <x:c r="F160" s="58"/>
      <x:c r="G160" s="58"/>
      <x:c r="H160" s="58"/>
      <x:c r="I160" s="58"/>
      <x:c r="J160" s="58"/>
      <x:c r="K160" s="58"/>
      <x:c r="L160" s="58"/>
      <x:c r="M160" s="58"/>
      <x:c r="N160" s="58"/>
      <x:c r="O160" s="58"/>
      <x:c r="P160" s="58"/>
      <x:c r="Q160" s="58"/>
      <x:c r="R160" s="58"/>
      <x:c r="S160" s="58"/>
      <x:c r="T160" s="58"/>
      <x:c r="U160" s="58"/>
      <x:c r="V160" s="58"/>
      <x:c r="W160" s="58"/>
      <x:c r="X160" s="58"/>
      <x:c r="Y160" s="58"/>
      <x:c r="Z160" s="58"/>
    </x:row>
    <x:row r="161">
      <x:c r="A161" s="58"/>
      <x:c r="B161" s="58"/>
      <x:c r="C161" s="58"/>
      <x:c r="D161" s="58"/>
      <x:c r="E161" s="58"/>
      <x:c r="F161" s="58"/>
      <x:c r="G161" s="58"/>
      <x:c r="H161" s="58"/>
      <x:c r="I161" s="58"/>
      <x:c r="J161" s="58"/>
      <x:c r="K161" s="58"/>
      <x:c r="L161" s="58"/>
      <x:c r="M161" s="58"/>
      <x:c r="N161" s="58"/>
      <x:c r="O161" s="58"/>
      <x:c r="P161" s="58"/>
      <x:c r="Q161" s="58"/>
      <x:c r="R161" s="58"/>
      <x:c r="S161" s="58"/>
      <x:c r="T161" s="58"/>
      <x:c r="U161" s="58"/>
      <x:c r="V161" s="58"/>
      <x:c r="W161" s="58"/>
      <x:c r="X161" s="58"/>
      <x:c r="Y161" s="58"/>
      <x:c r="Z161" s="58"/>
    </x:row>
    <x:row r="162">
      <x:c r="A162" s="58"/>
      <x:c r="B162" s="58"/>
      <x:c r="C162" s="58"/>
      <x:c r="D162" s="58"/>
      <x:c r="E162" s="58"/>
      <x:c r="F162" s="58"/>
      <x:c r="G162" s="58"/>
      <x:c r="H162" s="58"/>
      <x:c r="I162" s="58"/>
      <x:c r="J162" s="58"/>
      <x:c r="K162" s="58"/>
      <x:c r="L162" s="58"/>
      <x:c r="M162" s="58"/>
      <x:c r="N162" s="58"/>
      <x:c r="O162" s="58"/>
      <x:c r="P162" s="58"/>
      <x:c r="Q162" s="58"/>
      <x:c r="R162" s="58"/>
      <x:c r="S162" s="58"/>
      <x:c r="T162" s="58"/>
      <x:c r="U162" s="58"/>
      <x:c r="V162" s="58"/>
      <x:c r="W162" s="58"/>
      <x:c r="X162" s="58"/>
      <x:c r="Y162" s="58"/>
      <x:c r="Z162" s="58"/>
    </x:row>
    <x:row r="163">
      <x:c r="A163" s="58"/>
      <x:c r="B163" s="58"/>
      <x:c r="C163" s="58"/>
      <x:c r="D163" s="58"/>
      <x:c r="E163" s="58"/>
      <x:c r="F163" s="58"/>
      <x:c r="G163" s="58"/>
      <x:c r="H163" s="58"/>
      <x:c r="I163" s="58"/>
      <x:c r="J163" s="58"/>
      <x:c r="K163" s="58"/>
      <x:c r="L163" s="58"/>
      <x:c r="M163" s="58"/>
      <x:c r="N163" s="58"/>
      <x:c r="O163" s="58"/>
      <x:c r="P163" s="58"/>
      <x:c r="Q163" s="58"/>
      <x:c r="R163" s="58"/>
      <x:c r="S163" s="58"/>
      <x:c r="T163" s="58"/>
      <x:c r="U163" s="58"/>
      <x:c r="V163" s="58"/>
      <x:c r="W163" s="58"/>
      <x:c r="X163" s="58"/>
      <x:c r="Y163" s="58"/>
      <x:c r="Z163" s="58"/>
    </x:row>
    <x:row r="164">
      <x:c r="A164" s="58"/>
      <x:c r="B164" s="58"/>
      <x:c r="C164" s="58"/>
      <x:c r="D164" s="58"/>
      <x:c r="E164" s="58"/>
      <x:c r="F164" s="58"/>
      <x:c r="G164" s="58"/>
      <x:c r="H164" s="58"/>
      <x:c r="I164" s="58"/>
      <x:c r="J164" s="58"/>
      <x:c r="K164" s="58"/>
      <x:c r="L164" s="58"/>
      <x:c r="M164" s="58"/>
      <x:c r="N164" s="58"/>
      <x:c r="O164" s="58"/>
      <x:c r="P164" s="58"/>
      <x:c r="Q164" s="58"/>
      <x:c r="R164" s="58"/>
      <x:c r="S164" s="58"/>
      <x:c r="T164" s="58"/>
      <x:c r="U164" s="58"/>
      <x:c r="V164" s="58"/>
      <x:c r="W164" s="58"/>
      <x:c r="X164" s="58"/>
      <x:c r="Y164" s="58"/>
      <x:c r="Z164" s="58"/>
    </x:row>
    <x:row r="165">
      <x:c r="A165" s="58"/>
      <x:c r="B165" s="58"/>
      <x:c r="C165" s="58"/>
      <x:c r="D165" s="58"/>
      <x:c r="E165" s="58"/>
      <x:c r="F165" s="58"/>
      <x:c r="G165" s="58"/>
      <x:c r="H165" s="58"/>
      <x:c r="I165" s="58"/>
      <x:c r="J165" s="58"/>
      <x:c r="K165" s="58"/>
      <x:c r="L165" s="58"/>
      <x:c r="M165" s="58"/>
      <x:c r="N165" s="58"/>
      <x:c r="O165" s="58"/>
      <x:c r="P165" s="58"/>
      <x:c r="Q165" s="58"/>
      <x:c r="R165" s="58"/>
      <x:c r="S165" s="58"/>
      <x:c r="T165" s="58"/>
      <x:c r="U165" s="58"/>
      <x:c r="V165" s="58"/>
      <x:c r="W165" s="58"/>
      <x:c r="X165" s="58"/>
      <x:c r="Y165" s="58"/>
      <x:c r="Z165" s="58"/>
    </x:row>
    <x:row r="166">
      <x:c r="A166" s="58"/>
      <x:c r="B166" s="58"/>
      <x:c r="C166" s="58"/>
      <x:c r="D166" s="58"/>
      <x:c r="E166" s="58"/>
      <x:c r="F166" s="58"/>
      <x:c r="G166" s="58"/>
      <x:c r="H166" s="58"/>
      <x:c r="I166" s="58"/>
      <x:c r="J166" s="58"/>
      <x:c r="K166" s="58"/>
      <x:c r="L166" s="58"/>
      <x:c r="M166" s="58"/>
      <x:c r="N166" s="58"/>
      <x:c r="O166" s="58"/>
      <x:c r="P166" s="58"/>
      <x:c r="Q166" s="58"/>
      <x:c r="R166" s="58"/>
      <x:c r="S166" s="58"/>
      <x:c r="T166" s="58"/>
      <x:c r="U166" s="58"/>
      <x:c r="V166" s="58"/>
      <x:c r="W166" s="58"/>
      <x:c r="X166" s="58"/>
      <x:c r="Y166" s="58"/>
      <x:c r="Z166" s="58"/>
    </x:row>
    <x:row r="167">
      <x:c r="A167" s="58"/>
      <x:c r="B167" s="58"/>
      <x:c r="C167" s="58"/>
      <x:c r="D167" s="58"/>
      <x:c r="E167" s="58"/>
      <x:c r="F167" s="58"/>
      <x:c r="G167" s="58"/>
      <x:c r="H167" s="58"/>
      <x:c r="I167" s="58"/>
      <x:c r="J167" s="58"/>
      <x:c r="K167" s="58"/>
      <x:c r="L167" s="58"/>
      <x:c r="M167" s="58"/>
      <x:c r="N167" s="58"/>
      <x:c r="O167" s="58"/>
      <x:c r="P167" s="58"/>
      <x:c r="Q167" s="58"/>
      <x:c r="R167" s="58"/>
      <x:c r="S167" s="58"/>
      <x:c r="T167" s="58"/>
      <x:c r="U167" s="58"/>
      <x:c r="V167" s="58"/>
      <x:c r="W167" s="58"/>
      <x:c r="X167" s="58"/>
      <x:c r="Y167" s="58"/>
      <x:c r="Z167" s="58"/>
    </x:row>
    <x:row r="168">
      <x:c r="A168" s="58"/>
      <x:c r="B168" s="58"/>
      <x:c r="C168" s="58"/>
      <x:c r="D168" s="58"/>
      <x:c r="E168" s="58"/>
      <x:c r="F168" s="58"/>
      <x:c r="G168" s="58"/>
      <x:c r="H168" s="58"/>
      <x:c r="I168" s="58"/>
      <x:c r="J168" s="58"/>
      <x:c r="K168" s="58"/>
      <x:c r="L168" s="58"/>
      <x:c r="M168" s="58"/>
      <x:c r="N168" s="58"/>
      <x:c r="O168" s="58"/>
      <x:c r="P168" s="58"/>
      <x:c r="Q168" s="58"/>
      <x:c r="R168" s="58"/>
      <x:c r="S168" s="58"/>
      <x:c r="T168" s="58"/>
      <x:c r="U168" s="58"/>
      <x:c r="V168" s="58"/>
      <x:c r="W168" s="58"/>
      <x:c r="X168" s="58"/>
      <x:c r="Y168" s="58"/>
      <x:c r="Z168" s="58"/>
    </x:row>
    <x:row r="169">
      <x:c r="A169" s="58"/>
      <x:c r="B169" s="58"/>
      <x:c r="C169" s="58"/>
      <x:c r="D169" s="58"/>
      <x:c r="E169" s="58"/>
      <x:c r="F169" s="58"/>
      <x:c r="G169" s="58"/>
      <x:c r="H169" s="58"/>
      <x:c r="I169" s="58"/>
      <x:c r="J169" s="58"/>
      <x:c r="K169" s="58"/>
      <x:c r="L169" s="58"/>
      <x:c r="M169" s="58"/>
      <x:c r="N169" s="58"/>
      <x:c r="O169" s="58"/>
      <x:c r="P169" s="58"/>
      <x:c r="Q169" s="58"/>
      <x:c r="R169" s="58"/>
      <x:c r="S169" s="58"/>
      <x:c r="T169" s="58"/>
      <x:c r="U169" s="58"/>
      <x:c r="V169" s="58"/>
      <x:c r="W169" s="58"/>
      <x:c r="X169" s="58"/>
      <x:c r="Y169" s="58"/>
      <x:c r="Z169" s="58"/>
    </x:row>
    <x:row r="170">
      <x:c r="A170" s="58"/>
      <x:c r="B170" s="58"/>
      <x:c r="C170" s="58"/>
      <x:c r="D170" s="58"/>
      <x:c r="E170" s="58"/>
      <x:c r="F170" s="58"/>
      <x:c r="G170" s="58"/>
      <x:c r="H170" s="58"/>
      <x:c r="I170" s="58"/>
      <x:c r="J170" s="58"/>
      <x:c r="K170" s="58"/>
      <x:c r="L170" s="58"/>
      <x:c r="M170" s="58"/>
      <x:c r="N170" s="58"/>
      <x:c r="O170" s="58"/>
      <x:c r="P170" s="58"/>
      <x:c r="Q170" s="58"/>
      <x:c r="R170" s="58"/>
      <x:c r="S170" s="58"/>
      <x:c r="T170" s="58"/>
      <x:c r="U170" s="58"/>
      <x:c r="V170" s="58"/>
      <x:c r="W170" s="58"/>
      <x:c r="X170" s="58"/>
      <x:c r="Y170" s="58"/>
      <x:c r="Z170" s="58"/>
    </x:row>
    <x:row r="171">
      <x:c r="A171" s="58"/>
      <x:c r="B171" s="58"/>
      <x:c r="C171" s="58"/>
      <x:c r="D171" s="58"/>
      <x:c r="E171" s="58"/>
      <x:c r="F171" s="58"/>
      <x:c r="G171" s="58"/>
      <x:c r="H171" s="58"/>
      <x:c r="I171" s="58"/>
      <x:c r="J171" s="58"/>
      <x:c r="K171" s="58"/>
      <x:c r="L171" s="58"/>
      <x:c r="M171" s="58"/>
      <x:c r="N171" s="58"/>
      <x:c r="O171" s="58"/>
      <x:c r="P171" s="58"/>
      <x:c r="Q171" s="58"/>
      <x:c r="R171" s="58"/>
      <x:c r="S171" s="58"/>
      <x:c r="T171" s="58"/>
      <x:c r="U171" s="58"/>
      <x:c r="V171" s="58"/>
      <x:c r="W171" s="58"/>
      <x:c r="X171" s="58"/>
      <x:c r="Y171" s="58"/>
      <x:c r="Z171" s="58"/>
    </x:row>
    <x:row r="172">
      <x:c r="A172" s="58"/>
      <x:c r="B172" s="58"/>
      <x:c r="C172" s="58"/>
      <x:c r="D172" s="58"/>
      <x:c r="E172" s="58"/>
      <x:c r="F172" s="58"/>
      <x:c r="G172" s="58"/>
      <x:c r="H172" s="58"/>
      <x:c r="I172" s="58"/>
      <x:c r="J172" s="58"/>
      <x:c r="K172" s="58"/>
      <x:c r="L172" s="58"/>
      <x:c r="M172" s="58"/>
      <x:c r="N172" s="58"/>
      <x:c r="O172" s="58"/>
      <x:c r="P172" s="58"/>
      <x:c r="Q172" s="58"/>
      <x:c r="R172" s="58"/>
      <x:c r="S172" s="58"/>
      <x:c r="T172" s="58"/>
      <x:c r="U172" s="58"/>
      <x:c r="V172" s="58"/>
      <x:c r="W172" s="58"/>
      <x:c r="X172" s="58"/>
      <x:c r="Y172" s="58"/>
      <x:c r="Z172" s="58"/>
    </x:row>
    <x:row r="173">
      <x:c r="A173" s="58"/>
      <x:c r="B173" s="58"/>
      <x:c r="C173" s="58"/>
      <x:c r="D173" s="58"/>
      <x:c r="E173" s="58"/>
      <x:c r="F173" s="58"/>
      <x:c r="G173" s="58"/>
      <x:c r="H173" s="58"/>
      <x:c r="I173" s="58"/>
      <x:c r="J173" s="58"/>
      <x:c r="K173" s="58"/>
      <x:c r="L173" s="58"/>
      <x:c r="M173" s="58"/>
      <x:c r="N173" s="58"/>
      <x:c r="O173" s="58"/>
      <x:c r="P173" s="58"/>
      <x:c r="Q173" s="58"/>
      <x:c r="R173" s="58"/>
      <x:c r="S173" s="58"/>
      <x:c r="T173" s="58"/>
      <x:c r="U173" s="58"/>
      <x:c r="V173" s="58"/>
      <x:c r="W173" s="58"/>
      <x:c r="X173" s="58"/>
      <x:c r="Y173" s="58"/>
      <x:c r="Z173" s="58"/>
    </x:row>
    <x:row r="174">
      <x:c r="A174" s="58"/>
      <x:c r="B174" s="58"/>
      <x:c r="C174" s="58"/>
      <x:c r="D174" s="58"/>
      <x:c r="E174" s="58"/>
      <x:c r="F174" s="58"/>
      <x:c r="G174" s="58"/>
      <x:c r="H174" s="58"/>
      <x:c r="I174" s="58"/>
      <x:c r="J174" s="58"/>
      <x:c r="K174" s="58"/>
      <x:c r="L174" s="58"/>
      <x:c r="M174" s="58"/>
      <x:c r="N174" s="58"/>
      <x:c r="O174" s="58"/>
      <x:c r="P174" s="58"/>
      <x:c r="Q174" s="58"/>
      <x:c r="R174" s="58"/>
      <x:c r="S174" s="58"/>
      <x:c r="T174" s="58"/>
      <x:c r="U174" s="58"/>
      <x:c r="V174" s="58"/>
      <x:c r="W174" s="58"/>
      <x:c r="X174" s="58"/>
      <x:c r="Y174" s="58"/>
      <x:c r="Z174" s="58"/>
    </x:row>
    <x:row r="175">
      <x:c r="A175" s="58"/>
      <x:c r="B175" s="58"/>
      <x:c r="C175" s="58"/>
      <x:c r="D175" s="58"/>
      <x:c r="E175" s="58"/>
      <x:c r="F175" s="58"/>
      <x:c r="G175" s="58"/>
      <x:c r="H175" s="58"/>
      <x:c r="I175" s="58"/>
      <x:c r="J175" s="58"/>
      <x:c r="K175" s="58"/>
      <x:c r="L175" s="58"/>
      <x:c r="M175" s="58"/>
      <x:c r="N175" s="58"/>
      <x:c r="O175" s="58"/>
      <x:c r="P175" s="58"/>
      <x:c r="Q175" s="58"/>
      <x:c r="R175" s="58"/>
      <x:c r="S175" s="58"/>
      <x:c r="T175" s="58"/>
      <x:c r="U175" s="58"/>
      <x:c r="V175" s="58"/>
      <x:c r="W175" s="58"/>
      <x:c r="X175" s="58"/>
      <x:c r="Y175" s="58"/>
      <x:c r="Z175" s="58"/>
    </x:row>
    <x:row r="176">
      <x:c r="A176" s="58"/>
      <x:c r="B176" s="58"/>
      <x:c r="C176" s="58"/>
      <x:c r="D176" s="58"/>
      <x:c r="E176" s="58"/>
      <x:c r="F176" s="58"/>
      <x:c r="G176" s="58"/>
      <x:c r="H176" s="58"/>
      <x:c r="I176" s="58"/>
      <x:c r="J176" s="58"/>
      <x:c r="K176" s="58"/>
      <x:c r="L176" s="58"/>
      <x:c r="M176" s="58"/>
      <x:c r="N176" s="58"/>
      <x:c r="O176" s="58"/>
      <x:c r="P176" s="58"/>
      <x:c r="Q176" s="58"/>
      <x:c r="R176" s="58"/>
      <x:c r="S176" s="58"/>
      <x:c r="T176" s="58"/>
      <x:c r="U176" s="58"/>
      <x:c r="V176" s="58"/>
      <x:c r="W176" s="58"/>
      <x:c r="X176" s="58"/>
      <x:c r="Y176" s="58"/>
      <x:c r="Z176" s="58"/>
    </x:row>
    <x:row r="177">
      <x:c r="A177" s="58"/>
      <x:c r="B177" s="58"/>
      <x:c r="C177" s="58"/>
      <x:c r="D177" s="58"/>
      <x:c r="E177" s="58"/>
      <x:c r="F177" s="58"/>
      <x:c r="G177" s="58"/>
      <x:c r="H177" s="58"/>
      <x:c r="I177" s="58"/>
      <x:c r="J177" s="58"/>
      <x:c r="K177" s="58"/>
      <x:c r="L177" s="58"/>
      <x:c r="M177" s="58"/>
      <x:c r="N177" s="58"/>
      <x:c r="O177" s="58"/>
      <x:c r="P177" s="58"/>
      <x:c r="Q177" s="58"/>
      <x:c r="R177" s="58"/>
      <x:c r="S177" s="58"/>
      <x:c r="T177" s="58"/>
      <x:c r="U177" s="58"/>
      <x:c r="V177" s="58"/>
      <x:c r="W177" s="58"/>
      <x:c r="X177" s="58"/>
      <x:c r="Y177" s="58"/>
      <x:c r="Z177" s="58"/>
    </x:row>
    <x:row r="178">
      <x:c r="A178" s="58"/>
      <x:c r="B178" s="58"/>
      <x:c r="C178" s="58"/>
      <x:c r="D178" s="58"/>
      <x:c r="E178" s="58"/>
      <x:c r="F178" s="58"/>
      <x:c r="G178" s="58"/>
      <x:c r="H178" s="58"/>
      <x:c r="I178" s="58"/>
      <x:c r="J178" s="58"/>
      <x:c r="K178" s="58"/>
      <x:c r="L178" s="58"/>
      <x:c r="M178" s="58"/>
      <x:c r="N178" s="58"/>
      <x:c r="O178" s="58"/>
      <x:c r="P178" s="58"/>
      <x:c r="Q178" s="58"/>
      <x:c r="R178" s="58"/>
      <x:c r="S178" s="58"/>
      <x:c r="T178" s="58"/>
      <x:c r="U178" s="58"/>
      <x:c r="V178" s="58"/>
      <x:c r="W178" s="58"/>
      <x:c r="X178" s="58"/>
      <x:c r="Y178" s="58"/>
      <x:c r="Z178" s="58"/>
    </x:row>
    <x:row r="179">
      <x:c r="A179" s="58"/>
      <x:c r="B179" s="58"/>
      <x:c r="C179" s="58"/>
      <x:c r="D179" s="58"/>
      <x:c r="E179" s="58"/>
      <x:c r="F179" s="58"/>
      <x:c r="G179" s="58"/>
      <x:c r="H179" s="58"/>
      <x:c r="I179" s="58"/>
      <x:c r="J179" s="58"/>
      <x:c r="K179" s="58"/>
      <x:c r="L179" s="58"/>
      <x:c r="M179" s="58"/>
      <x:c r="N179" s="58"/>
      <x:c r="O179" s="58"/>
      <x:c r="P179" s="58"/>
      <x:c r="Q179" s="58"/>
      <x:c r="R179" s="58"/>
      <x:c r="S179" s="58"/>
      <x:c r="T179" s="58"/>
      <x:c r="U179" s="58"/>
      <x:c r="V179" s="58"/>
      <x:c r="W179" s="58"/>
      <x:c r="X179" s="58"/>
      <x:c r="Y179" s="58"/>
      <x:c r="Z179" s="58"/>
    </x:row>
    <x:row r="180">
      <x:c r="A180" s="58"/>
      <x:c r="B180" s="58"/>
      <x:c r="C180" s="58"/>
      <x:c r="D180" s="58"/>
      <x:c r="E180" s="58"/>
      <x:c r="F180" s="58"/>
      <x:c r="G180" s="58"/>
      <x:c r="H180" s="58"/>
      <x:c r="I180" s="58"/>
      <x:c r="J180" s="58"/>
      <x:c r="K180" s="58"/>
      <x:c r="L180" s="58"/>
      <x:c r="M180" s="58"/>
      <x:c r="N180" s="58"/>
      <x:c r="O180" s="58"/>
      <x:c r="P180" s="58"/>
      <x:c r="Q180" s="58"/>
      <x:c r="R180" s="58"/>
      <x:c r="S180" s="58"/>
      <x:c r="T180" s="58"/>
      <x:c r="U180" s="58"/>
      <x:c r="V180" s="58"/>
      <x:c r="W180" s="58"/>
      <x:c r="X180" s="58"/>
      <x:c r="Y180" s="58"/>
      <x:c r="Z180" s="58"/>
    </x:row>
    <x:row r="181">
      <x:c r="A181" s="58"/>
      <x:c r="B181" s="58"/>
      <x:c r="C181" s="58"/>
      <x:c r="D181" s="58"/>
      <x:c r="E181" s="58"/>
      <x:c r="F181" s="58"/>
      <x:c r="G181" s="58"/>
      <x:c r="H181" s="58"/>
      <x:c r="I181" s="58"/>
      <x:c r="J181" s="58"/>
      <x:c r="K181" s="58"/>
      <x:c r="L181" s="58"/>
      <x:c r="M181" s="58"/>
      <x:c r="N181" s="58"/>
      <x:c r="O181" s="58"/>
      <x:c r="P181" s="58"/>
      <x:c r="Q181" s="58"/>
      <x:c r="R181" s="58"/>
      <x:c r="S181" s="58"/>
      <x:c r="T181" s="58"/>
      <x:c r="U181" s="58"/>
      <x:c r="V181" s="58"/>
      <x:c r="W181" s="58"/>
      <x:c r="X181" s="58"/>
      <x:c r="Y181" s="58"/>
      <x:c r="Z181" s="58"/>
    </x:row>
    <x:row r="182">
      <x:c r="A182" s="58"/>
      <x:c r="B182" s="58"/>
      <x:c r="C182" s="58"/>
      <x:c r="D182" s="58"/>
      <x:c r="E182" s="58"/>
      <x:c r="F182" s="58"/>
      <x:c r="G182" s="58"/>
      <x:c r="H182" s="58"/>
      <x:c r="I182" s="58"/>
      <x:c r="J182" s="58"/>
      <x:c r="K182" s="58"/>
      <x:c r="L182" s="58"/>
      <x:c r="M182" s="58"/>
      <x:c r="N182" s="58"/>
      <x:c r="O182" s="58"/>
      <x:c r="P182" s="58"/>
      <x:c r="Q182" s="58"/>
      <x:c r="R182" s="58"/>
      <x:c r="S182" s="58"/>
      <x:c r="T182" s="58"/>
      <x:c r="U182" s="58"/>
      <x:c r="V182" s="58"/>
      <x:c r="W182" s="58"/>
      <x:c r="X182" s="58"/>
      <x:c r="Y182" s="58"/>
      <x:c r="Z182" s="58"/>
    </x:row>
    <x:row r="183">
      <x:c r="A183" s="58"/>
      <x:c r="B183" s="58"/>
      <x:c r="C183" s="58"/>
      <x:c r="D183" s="58"/>
      <x:c r="E183" s="58"/>
      <x:c r="F183" s="58"/>
      <x:c r="G183" s="58"/>
      <x:c r="H183" s="58"/>
      <x:c r="I183" s="58"/>
      <x:c r="J183" s="58"/>
      <x:c r="K183" s="58"/>
      <x:c r="L183" s="58"/>
      <x:c r="M183" s="58"/>
      <x:c r="N183" s="58"/>
      <x:c r="O183" s="58"/>
      <x:c r="P183" s="58"/>
      <x:c r="Q183" s="58"/>
      <x:c r="R183" s="58"/>
      <x:c r="S183" s="58"/>
      <x:c r="T183" s="58"/>
      <x:c r="U183" s="58"/>
      <x:c r="V183" s="58"/>
      <x:c r="W183" s="58"/>
      <x:c r="X183" s="58"/>
      <x:c r="Y183" s="58"/>
      <x:c r="Z183" s="58"/>
    </x:row>
    <x:row r="184">
      <x:c r="A184" s="58"/>
      <x:c r="B184" s="58"/>
      <x:c r="C184" s="58"/>
      <x:c r="D184" s="58"/>
      <x:c r="E184" s="58"/>
      <x:c r="F184" s="58"/>
      <x:c r="G184" s="58"/>
      <x:c r="H184" s="58"/>
      <x:c r="I184" s="58"/>
      <x:c r="J184" s="58"/>
      <x:c r="K184" s="58"/>
      <x:c r="L184" s="58"/>
      <x:c r="M184" s="58"/>
      <x:c r="N184" s="58"/>
      <x:c r="O184" s="58"/>
      <x:c r="P184" s="58"/>
      <x:c r="Q184" s="58"/>
      <x:c r="R184" s="58"/>
      <x:c r="S184" s="58"/>
      <x:c r="T184" s="58"/>
      <x:c r="U184" s="58"/>
      <x:c r="V184" s="58"/>
      <x:c r="W184" s="58"/>
      <x:c r="X184" s="58"/>
      <x:c r="Y184" s="58"/>
      <x:c r="Z184" s="58"/>
    </x:row>
    <x:row r="185">
      <x:c r="A185" s="58"/>
      <x:c r="B185" s="58"/>
      <x:c r="C185" s="58"/>
      <x:c r="D185" s="58"/>
      <x:c r="E185" s="58"/>
      <x:c r="F185" s="58"/>
      <x:c r="G185" s="58"/>
      <x:c r="H185" s="58"/>
      <x:c r="I185" s="58"/>
      <x:c r="J185" s="58"/>
      <x:c r="K185" s="58"/>
      <x:c r="L185" s="58"/>
      <x:c r="M185" s="58"/>
      <x:c r="N185" s="58"/>
      <x:c r="O185" s="58"/>
      <x:c r="P185" s="58"/>
      <x:c r="Q185" s="58"/>
      <x:c r="R185" s="58"/>
      <x:c r="S185" s="58"/>
      <x:c r="T185" s="58"/>
      <x:c r="U185" s="58"/>
      <x:c r="V185" s="58"/>
      <x:c r="W185" s="58"/>
      <x:c r="X185" s="58"/>
      <x:c r="Y185" s="58"/>
      <x:c r="Z185" s="58"/>
    </x:row>
    <x:row r="186">
      <x:c r="A186" s="58"/>
      <x:c r="B186" s="58"/>
      <x:c r="C186" s="58"/>
      <x:c r="D186" s="58"/>
      <x:c r="E186" s="58"/>
      <x:c r="F186" s="58"/>
      <x:c r="G186" s="58"/>
      <x:c r="H186" s="58"/>
      <x:c r="I186" s="58"/>
      <x:c r="J186" s="58"/>
      <x:c r="K186" s="58"/>
      <x:c r="L186" s="58"/>
      <x:c r="M186" s="58"/>
      <x:c r="N186" s="58"/>
      <x:c r="O186" s="58"/>
      <x:c r="P186" s="58"/>
      <x:c r="Q186" s="58"/>
      <x:c r="R186" s="58"/>
      <x:c r="S186" s="58"/>
      <x:c r="T186" s="58"/>
      <x:c r="U186" s="58"/>
      <x:c r="V186" s="58"/>
      <x:c r="W186" s="58"/>
      <x:c r="X186" s="58"/>
      <x:c r="Y186" s="58"/>
      <x:c r="Z186" s="58"/>
    </x:row>
    <x:row r="187">
      <x:c r="A187" s="58"/>
      <x:c r="B187" s="58"/>
      <x:c r="C187" s="58"/>
      <x:c r="D187" s="58"/>
      <x:c r="E187" s="58"/>
      <x:c r="F187" s="58"/>
      <x:c r="G187" s="58"/>
      <x:c r="H187" s="58"/>
      <x:c r="I187" s="58"/>
      <x:c r="J187" s="58"/>
      <x:c r="K187" s="58"/>
      <x:c r="L187" s="58"/>
      <x:c r="M187" s="58"/>
      <x:c r="N187" s="58"/>
      <x:c r="O187" s="58"/>
      <x:c r="P187" s="58"/>
      <x:c r="Q187" s="58"/>
      <x:c r="R187" s="58"/>
      <x:c r="S187" s="58"/>
      <x:c r="T187" s="58"/>
      <x:c r="U187" s="58"/>
      <x:c r="V187" s="58"/>
      <x:c r="W187" s="58"/>
      <x:c r="X187" s="58"/>
      <x:c r="Y187" s="58"/>
      <x:c r="Z187" s="58"/>
    </x:row>
    <x:row r="188">
      <x:c r="A188" s="58"/>
      <x:c r="B188" s="58"/>
      <x:c r="C188" s="58"/>
      <x:c r="D188" s="58"/>
      <x:c r="E188" s="58"/>
      <x:c r="F188" s="58"/>
      <x:c r="G188" s="58"/>
      <x:c r="H188" s="58"/>
      <x:c r="I188" s="58"/>
      <x:c r="J188" s="58"/>
      <x:c r="K188" s="58"/>
      <x:c r="L188" s="58"/>
      <x:c r="M188" s="58"/>
      <x:c r="N188" s="58"/>
      <x:c r="O188" s="58"/>
      <x:c r="P188" s="58"/>
      <x:c r="Q188" s="58"/>
      <x:c r="R188" s="58"/>
      <x:c r="S188" s="58"/>
      <x:c r="T188" s="58"/>
      <x:c r="U188" s="58"/>
      <x:c r="V188" s="58"/>
      <x:c r="W188" s="58"/>
      <x:c r="X188" s="58"/>
      <x:c r="Y188" s="58"/>
      <x:c r="Z188" s="58"/>
    </x:row>
    <x:row r="189">
      <x:c r="A189" s="58"/>
      <x:c r="B189" s="58"/>
      <x:c r="C189" s="58"/>
      <x:c r="D189" s="58"/>
      <x:c r="E189" s="58"/>
      <x:c r="F189" s="58"/>
      <x:c r="G189" s="58"/>
      <x:c r="H189" s="58"/>
      <x:c r="I189" s="58"/>
      <x:c r="J189" s="58"/>
      <x:c r="K189" s="58"/>
      <x:c r="L189" s="58"/>
      <x:c r="M189" s="58"/>
      <x:c r="N189" s="58"/>
      <x:c r="O189" s="58"/>
      <x:c r="P189" s="58"/>
      <x:c r="Q189" s="58"/>
      <x:c r="R189" s="58"/>
      <x:c r="S189" s="58"/>
      <x:c r="T189" s="58"/>
      <x:c r="U189" s="58"/>
      <x:c r="V189" s="58"/>
      <x:c r="W189" s="58"/>
      <x:c r="X189" s="58"/>
      <x:c r="Y189" s="58"/>
      <x:c r="Z189" s="58"/>
    </x:row>
    <x:row r="190">
      <x:c r="A190" s="58"/>
      <x:c r="B190" s="58"/>
      <x:c r="C190" s="58"/>
      <x:c r="D190" s="58"/>
      <x:c r="E190" s="58"/>
      <x:c r="F190" s="58"/>
      <x:c r="G190" s="58"/>
      <x:c r="H190" s="58"/>
      <x:c r="I190" s="58"/>
      <x:c r="J190" s="58"/>
      <x:c r="K190" s="58"/>
      <x:c r="L190" s="58"/>
      <x:c r="M190" s="58"/>
      <x:c r="N190" s="58"/>
      <x:c r="O190" s="58"/>
      <x:c r="P190" s="58"/>
      <x:c r="Q190" s="58"/>
      <x:c r="R190" s="58"/>
      <x:c r="S190" s="58"/>
      <x:c r="T190" s="58"/>
      <x:c r="U190" s="58"/>
      <x:c r="V190" s="58"/>
      <x:c r="W190" s="58"/>
      <x:c r="X190" s="58"/>
      <x:c r="Y190" s="58"/>
      <x:c r="Z190" s="58"/>
    </x:row>
    <x:row r="191">
      <x:c r="A191" s="58"/>
      <x:c r="B191" s="58"/>
      <x:c r="C191" s="58"/>
      <x:c r="D191" s="58"/>
      <x:c r="E191" s="58"/>
      <x:c r="F191" s="58"/>
      <x:c r="G191" s="58"/>
      <x:c r="H191" s="58"/>
      <x:c r="I191" s="58"/>
      <x:c r="J191" s="58"/>
      <x:c r="K191" s="58"/>
      <x:c r="L191" s="58"/>
      <x:c r="M191" s="58"/>
      <x:c r="N191" s="58"/>
      <x:c r="O191" s="58"/>
      <x:c r="P191" s="58"/>
      <x:c r="Q191" s="58"/>
      <x:c r="R191" s="58"/>
      <x:c r="S191" s="58"/>
      <x:c r="T191" s="58"/>
      <x:c r="U191" s="58"/>
      <x:c r="V191" s="58"/>
      <x:c r="W191" s="58"/>
      <x:c r="X191" s="58"/>
      <x:c r="Y191" s="58"/>
      <x:c r="Z191" s="58"/>
    </x:row>
    <x:row r="192">
      <x:c r="A192" s="58"/>
      <x:c r="B192" s="58"/>
      <x:c r="C192" s="58"/>
      <x:c r="D192" s="58"/>
      <x:c r="E192" s="58"/>
      <x:c r="F192" s="58"/>
      <x:c r="G192" s="58"/>
      <x:c r="H192" s="58"/>
      <x:c r="I192" s="58"/>
      <x:c r="J192" s="58"/>
      <x:c r="K192" s="58"/>
      <x:c r="L192" s="58"/>
      <x:c r="M192" s="58"/>
      <x:c r="N192" s="58"/>
      <x:c r="O192" s="58"/>
      <x:c r="P192" s="58"/>
      <x:c r="Q192" s="58"/>
      <x:c r="R192" s="58"/>
      <x:c r="S192" s="58"/>
      <x:c r="T192" s="58"/>
      <x:c r="U192" s="58"/>
      <x:c r="V192" s="58"/>
      <x:c r="W192" s="58"/>
      <x:c r="X192" s="58"/>
      <x:c r="Y192" s="58"/>
      <x:c r="Z192" s="58"/>
    </x:row>
    <x:row r="193">
      <x:c r="A193" s="58"/>
      <x:c r="B193" s="58"/>
      <x:c r="C193" s="58"/>
      <x:c r="D193" s="58"/>
      <x:c r="E193" s="58"/>
      <x:c r="F193" s="58"/>
      <x:c r="G193" s="58"/>
      <x:c r="H193" s="58"/>
      <x:c r="I193" s="58"/>
      <x:c r="J193" s="58"/>
      <x:c r="K193" s="58"/>
      <x:c r="L193" s="58"/>
      <x:c r="M193" s="58"/>
      <x:c r="N193" s="58"/>
      <x:c r="O193" s="58"/>
      <x:c r="P193" s="58"/>
      <x:c r="Q193" s="58"/>
      <x:c r="R193" s="58"/>
      <x:c r="S193" s="58"/>
      <x:c r="T193" s="58"/>
      <x:c r="U193" s="58"/>
      <x:c r="V193" s="58"/>
      <x:c r="W193" s="58"/>
      <x:c r="X193" s="58"/>
      <x:c r="Y193" s="58"/>
      <x:c r="Z193" s="58"/>
    </x:row>
    <x:row r="194">
      <x:c r="A194" s="58"/>
      <x:c r="B194" s="58"/>
      <x:c r="C194" s="58"/>
      <x:c r="D194" s="58"/>
      <x:c r="E194" s="58"/>
      <x:c r="F194" s="58"/>
      <x:c r="G194" s="58"/>
      <x:c r="H194" s="58"/>
      <x:c r="I194" s="58"/>
      <x:c r="J194" s="58"/>
      <x:c r="K194" s="58"/>
      <x:c r="L194" s="58"/>
      <x:c r="M194" s="58"/>
      <x:c r="N194" s="58"/>
      <x:c r="O194" s="58"/>
      <x:c r="P194" s="58"/>
      <x:c r="Q194" s="58"/>
      <x:c r="R194" s="58"/>
      <x:c r="S194" s="58"/>
      <x:c r="T194" s="58"/>
      <x:c r="U194" s="58"/>
      <x:c r="V194" s="58"/>
      <x:c r="W194" s="58"/>
      <x:c r="X194" s="58"/>
      <x:c r="Y194" s="58"/>
      <x:c r="Z194" s="58"/>
    </x:row>
    <x:row r="195">
      <x:c r="A195" s="58"/>
      <x:c r="B195" s="58"/>
      <x:c r="C195" s="58"/>
      <x:c r="D195" s="58"/>
      <x:c r="E195" s="58"/>
      <x:c r="F195" s="58"/>
      <x:c r="G195" s="58"/>
      <x:c r="H195" s="58"/>
      <x:c r="I195" s="58"/>
      <x:c r="J195" s="58"/>
      <x:c r="K195" s="58"/>
      <x:c r="L195" s="58"/>
      <x:c r="M195" s="58"/>
      <x:c r="N195" s="58"/>
      <x:c r="O195" s="58"/>
      <x:c r="P195" s="58"/>
      <x:c r="Q195" s="58"/>
      <x:c r="R195" s="58"/>
      <x:c r="S195" s="58"/>
      <x:c r="T195" s="58"/>
      <x:c r="U195" s="58"/>
      <x:c r="V195" s="58"/>
      <x:c r="W195" s="58"/>
      <x:c r="X195" s="58"/>
      <x:c r="Y195" s="58"/>
      <x:c r="Z195" s="58"/>
    </x:row>
    <x:row r="196">
      <x:c r="A196" s="58"/>
      <x:c r="B196" s="58"/>
      <x:c r="C196" s="58"/>
      <x:c r="D196" s="58"/>
      <x:c r="E196" s="58"/>
      <x:c r="F196" s="58"/>
      <x:c r="G196" s="58"/>
      <x:c r="H196" s="58"/>
      <x:c r="I196" s="58"/>
      <x:c r="J196" s="58"/>
      <x:c r="K196" s="58"/>
      <x:c r="L196" s="58"/>
      <x:c r="M196" s="58"/>
      <x:c r="N196" s="58"/>
      <x:c r="O196" s="58"/>
      <x:c r="P196" s="58"/>
      <x:c r="Q196" s="58"/>
      <x:c r="R196" s="58"/>
      <x:c r="S196" s="58"/>
      <x:c r="T196" s="58"/>
      <x:c r="U196" s="58"/>
      <x:c r="V196" s="58"/>
      <x:c r="W196" s="58"/>
      <x:c r="X196" s="58"/>
      <x:c r="Y196" s="58"/>
      <x:c r="Z196" s="58"/>
    </x:row>
    <x:row r="197">
      <x:c r="A197" s="58"/>
      <x:c r="B197" s="58"/>
      <x:c r="C197" s="58"/>
      <x:c r="D197" s="58"/>
      <x:c r="E197" s="58"/>
      <x:c r="F197" s="58"/>
      <x:c r="G197" s="58"/>
      <x:c r="H197" s="58"/>
      <x:c r="I197" s="58"/>
      <x:c r="J197" s="58"/>
      <x:c r="K197" s="58"/>
      <x:c r="L197" s="58"/>
      <x:c r="M197" s="58"/>
      <x:c r="N197" s="58"/>
      <x:c r="O197" s="58"/>
      <x:c r="P197" s="58"/>
      <x:c r="Q197" s="58"/>
      <x:c r="R197" s="58"/>
      <x:c r="S197" s="58"/>
      <x:c r="T197" s="58"/>
      <x:c r="U197" s="58"/>
      <x:c r="V197" s="58"/>
      <x:c r="W197" s="58"/>
      <x:c r="X197" s="58"/>
      <x:c r="Y197" s="58"/>
      <x:c r="Z197" s="58"/>
    </x:row>
    <x:row r="198">
      <x:c r="A198" s="58"/>
      <x:c r="B198" s="58"/>
      <x:c r="C198" s="58"/>
      <x:c r="D198" s="58"/>
      <x:c r="E198" s="58"/>
      <x:c r="F198" s="58"/>
      <x:c r="G198" s="58"/>
      <x:c r="H198" s="58"/>
      <x:c r="I198" s="58"/>
      <x:c r="J198" s="58"/>
      <x:c r="K198" s="58"/>
      <x:c r="L198" s="58"/>
      <x:c r="M198" s="58"/>
      <x:c r="N198" s="58"/>
      <x:c r="O198" s="58"/>
      <x:c r="P198" s="58"/>
      <x:c r="Q198" s="58"/>
      <x:c r="R198" s="58"/>
      <x:c r="S198" s="58"/>
      <x:c r="T198" s="58"/>
      <x:c r="U198" s="58"/>
      <x:c r="V198" s="58"/>
      <x:c r="W198" s="58"/>
      <x:c r="X198" s="58"/>
      <x:c r="Y198" s="58"/>
      <x:c r="Z198" s="58"/>
    </x:row>
    <x:row r="199">
      <x:c r="A199" s="58"/>
      <x:c r="B199" s="58"/>
      <x:c r="C199" s="58"/>
      <x:c r="D199" s="58"/>
      <x:c r="E199" s="58"/>
      <x:c r="F199" s="58"/>
      <x:c r="G199" s="58"/>
      <x:c r="H199" s="58"/>
      <x:c r="I199" s="58"/>
      <x:c r="J199" s="58"/>
      <x:c r="K199" s="58"/>
      <x:c r="L199" s="58"/>
      <x:c r="M199" s="58"/>
      <x:c r="N199" s="58"/>
      <x:c r="O199" s="58"/>
      <x:c r="P199" s="58"/>
      <x:c r="Q199" s="58"/>
      <x:c r="R199" s="58"/>
      <x:c r="S199" s="58"/>
      <x:c r="T199" s="58"/>
      <x:c r="U199" s="58"/>
      <x:c r="V199" s="58"/>
      <x:c r="W199" s="58"/>
      <x:c r="X199" s="58"/>
      <x:c r="Y199" s="58"/>
      <x:c r="Z199" s="58"/>
    </x:row>
    <x:row r="200">
      <x:c r="A200" s="58"/>
      <x:c r="B200" s="58"/>
      <x:c r="C200" s="58"/>
      <x:c r="D200" s="58"/>
      <x:c r="E200" s="58"/>
      <x:c r="F200" s="58"/>
      <x:c r="G200" s="58"/>
      <x:c r="H200" s="58"/>
      <x:c r="I200" s="58"/>
      <x:c r="J200" s="58"/>
      <x:c r="K200" s="58"/>
      <x:c r="L200" s="58"/>
      <x:c r="M200" s="58"/>
      <x:c r="N200" s="58"/>
      <x:c r="O200" s="58"/>
      <x:c r="P200" s="58"/>
      <x:c r="Q200" s="58"/>
      <x:c r="R200" s="58"/>
      <x:c r="S200" s="58"/>
      <x:c r="T200" s="58"/>
      <x:c r="U200" s="58"/>
      <x:c r="V200" s="58"/>
      <x:c r="W200" s="58"/>
      <x:c r="X200" s="58"/>
      <x:c r="Y200" s="58"/>
      <x:c r="Z200" s="58"/>
    </x:row>
  </x:sheetData>
  <x:mergeCells>
    <x:mergeCell ref="A1:N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3.329999923706055" hidden="0" customWidth="1"/>
    <x:col min="3" max="3" width="13.329999923706055" hidden="0" customWidth="1"/>
    <x:col min="4" max="4" width="13.329999923706055" hidden="0" customWidth="1"/>
    <x:col min="5" max="5" width="13.329999923706055" hidden="0" customWidth="1"/>
    <x:col min="6" max="6" width="13.329999923706055" hidden="0" customWidth="1"/>
  </x:cols>
  <x:sheetData>
    <x:row r="1">
      <x:c r="A1" s="86" t="str">
        <x:v>NURA 产品名称汇总</x:v>
      </x:c>
      <x:c r="B1" s="78"/>
      <x:c r="C1" s="78"/>
      <x:c r="D1" s="78"/>
      <x:c r="E1" s="78"/>
      <x:c r="F1" s="78"/>
      <x:c r="G1" s="58"/>
      <x:c r="H1" s="58"/>
      <x:c r="I1" s="58"/>
      <x:c r="J1" s="58"/>
      <x:c r="K1" s="58"/>
      <x:c r="L1" s="58"/>
      <x:c r="M1" s="58"/>
      <x:c r="N1" s="58"/>
      <x:c r="O1" s="58"/>
      <x:c r="P1" s="58"/>
      <x:c r="Q1" s="58"/>
      <x:c r="R1" s="58"/>
      <x:c r="S1" s="58"/>
      <x:c r="T1" s="58"/>
      <x:c r="U1" s="58"/>
      <x:c r="V1" s="58"/>
      <x:c r="W1" s="58"/>
      <x:c r="X1" s="58"/>
      <x:c r="Y1" s="58"/>
      <x:c r="Z1" s="58"/>
    </x:row>
    <x:row r="2">
      <x:c r="A2" s="58"/>
      <x:c r="B2" s="58"/>
      <x:c r="C2" s="58"/>
      <x:c r="D2" s="58"/>
      <x:c r="E2" s="58"/>
      <x:c r="F2" s="58"/>
      <x:c r="G2" s="58"/>
      <x:c r="H2" s="58"/>
      <x:c r="I2" s="58"/>
      <x:c r="J2" s="58"/>
      <x:c r="K2" s="58"/>
      <x:c r="L2" s="58"/>
      <x:c r="M2" s="58"/>
      <x:c r="N2" s="58"/>
      <x:c r="O2" s="58"/>
      <x:c r="P2" s="58"/>
      <x:c r="Q2" s="58"/>
      <x:c r="R2" s="58"/>
      <x:c r="S2" s="58"/>
      <x:c r="T2" s="58"/>
      <x:c r="U2" s="58"/>
      <x:c r="V2" s="58"/>
      <x:c r="W2" s="58"/>
      <x:c r="X2" s="58"/>
      <x:c r="Y2" s="58"/>
      <x:c r="Z2" s="58"/>
    </x:row>
    <x:row r="3">
      <x:c r="A3" s="79" t="str">
        <x:v>产品名称</x:v>
      </x:c>
      <x:c r="B3" s="80" t="str">
        <x:v>款数</x:v>
      </x:c>
      <x:c r="C3" s="80" t="str">
        <x:v>平均成本价</x:v>
      </x:c>
      <x:c r="D3" s="80" t="str">
        <x:v>最低成本价</x:v>
      </x:c>
      <x:c r="E3" s="80" t="str">
        <x:v>最高成本价</x:v>
      </x:c>
      <x:c r="F3" s="81" t="str">
        <x:v>按100%利润推荐价范围</x:v>
      </x:c>
      <x:c r="G3" s="58"/>
      <x:c r="H3" s="58"/>
      <x:c r="I3" s="58"/>
      <x:c r="J3" s="58"/>
      <x:c r="K3" s="58"/>
      <x:c r="L3" s="58"/>
      <x:c r="M3" s="58"/>
      <x:c r="N3" s="58"/>
      <x:c r="O3" s="58"/>
      <x:c r="P3" s="58"/>
      <x:c r="Q3" s="58"/>
      <x:c r="R3" s="58"/>
      <x:c r="S3" s="58"/>
      <x:c r="T3" s="58"/>
      <x:c r="U3" s="58"/>
      <x:c r="V3" s="58"/>
      <x:c r="W3" s="58"/>
      <x:c r="X3" s="58"/>
      <x:c r="Y3" s="58"/>
      <x:c r="Z3" s="58"/>
    </x:row>
    <x:row r="4">
      <x:c r="A4" s="58" t="str">
        <x:v>S925 银彩宝耳钉</x:v>
      </x:c>
      <x:c r="B4" s="58" t="n">
        <x:v>14</x:v>
      </x:c>
      <x:c r="C4" s="82" t="n">
        <x:v>205.275</x:v>
      </x:c>
      <x:c r="D4" s="82" t="n">
        <x:v>144.325</x:v>
      </x:c>
      <x:c r="E4" s="82" t="n">
        <x:v>271.975</x:v>
      </x:c>
      <x:c r="F4" s="58" t="str">
        <x:v>600-850</x:v>
      </x:c>
      <x:c r="G4" s="58"/>
      <x:c r="H4" s="58"/>
      <x:c r="I4" s="58"/>
      <x:c r="J4" s="58"/>
      <x:c r="K4" s="58"/>
      <x:c r="L4" s="58"/>
      <x:c r="M4" s="58"/>
      <x:c r="N4" s="58"/>
      <x:c r="O4" s="58"/>
      <x:c r="P4" s="58"/>
      <x:c r="Q4" s="58"/>
      <x:c r="R4" s="58"/>
      <x:c r="S4" s="58"/>
      <x:c r="T4" s="58"/>
      <x:c r="U4" s="58"/>
      <x:c r="V4" s="58"/>
      <x:c r="W4" s="58"/>
      <x:c r="X4" s="58"/>
      <x:c r="Y4" s="58"/>
      <x:c r="Z4" s="58"/>
    </x:row>
    <x:row r="5">
      <x:c r="A5" s="58" t="str">
        <x:v>925 银彩宝项链</x:v>
      </x:c>
      <x:c r="B5" s="58" t="n">
        <x:v>15</x:v>
      </x:c>
      <x:c r="C5" s="82" t="n">
        <x:v>219.49666666666664</x:v>
      </x:c>
      <x:c r="D5" s="82" t="n">
        <x:v>132.825</x:v>
      </x:c>
      <x:c r="E5" s="82" t="n">
        <x:v>359.375</x:v>
      </x:c>
      <x:c r="F5" s="58" t="str">
        <x:v>600-1020</x:v>
      </x:c>
      <x:c r="G5" s="58"/>
      <x:c r="H5" s="58"/>
      <x:c r="I5" s="58"/>
      <x:c r="J5" s="58"/>
      <x:c r="K5" s="58"/>
      <x:c r="L5" s="58"/>
      <x:c r="M5" s="58"/>
      <x:c r="N5" s="58"/>
      <x:c r="O5" s="58"/>
      <x:c r="P5" s="58"/>
      <x:c r="Q5" s="58"/>
      <x:c r="R5" s="58"/>
      <x:c r="S5" s="58"/>
      <x:c r="T5" s="58"/>
      <x:c r="U5" s="58"/>
      <x:c r="V5" s="58"/>
      <x:c r="W5" s="58"/>
      <x:c r="X5" s="58"/>
      <x:c r="Y5" s="58"/>
      <x:c r="Z5" s="58"/>
    </x:row>
    <x:row r="6">
      <x:c r="A6" s="58" t="str">
        <x:v>未命名</x:v>
      </x:c>
      <x:c r="B6" s="58" t="n">
        <x:v>23</x:v>
      </x:c>
      <x:c r="C6" s="82" t="n">
        <x:v>223.825</x:v>
      </x:c>
      <x:c r="D6" s="82" t="n">
        <x:v>132.25</x:v>
      </x:c>
      <x:c r="E6" s="82" t="n">
        <x:v>349.6</x:v>
      </x:c>
      <x:c r="F6" s="58" t="str">
        <x:v>600-1000</x:v>
      </x:c>
      <x:c r="G6" s="58"/>
      <x:c r="H6" s="58"/>
      <x:c r="I6" s="58"/>
      <x:c r="J6" s="58"/>
      <x:c r="K6" s="58"/>
      <x:c r="L6" s="58"/>
      <x:c r="M6" s="58"/>
      <x:c r="N6" s="58"/>
      <x:c r="O6" s="58"/>
      <x:c r="P6" s="58"/>
      <x:c r="Q6" s="58"/>
      <x:c r="R6" s="58"/>
      <x:c r="S6" s="58"/>
      <x:c r="T6" s="58"/>
      <x:c r="U6" s="58"/>
      <x:c r="V6" s="58"/>
      <x:c r="W6" s="58"/>
      <x:c r="X6" s="58"/>
      <x:c r="Y6" s="58"/>
      <x:c r="Z6" s="58"/>
    </x:row>
    <x:row r="7">
      <x:c r="A7" s="58" t="str">
        <x:v>圆粉耳钉</x:v>
      </x:c>
      <x:c r="B7" s="58" t="n">
        <x:v>2</x:v>
      </x:c>
      <x:c r="C7" s="82" t="n">
        <x:v>152.0875</x:v>
      </x:c>
      <x:c r="D7" s="82" t="n">
        <x:v>123.05</x:v>
      </x:c>
      <x:c r="E7" s="82" t="n">
        <x:v>181.125</x:v>
      </x:c>
      <x:c r="F7" s="58" t="str">
        <x:v>600-670</x:v>
      </x:c>
      <x:c r="G7" s="58"/>
      <x:c r="H7" s="58"/>
      <x:c r="I7" s="58"/>
      <x:c r="J7" s="58"/>
      <x:c r="K7" s="58"/>
      <x:c r="L7" s="58"/>
      <x:c r="M7" s="58"/>
      <x:c r="N7" s="58"/>
      <x:c r="O7" s="58"/>
      <x:c r="P7" s="58"/>
      <x:c r="Q7" s="58"/>
      <x:c r="R7" s="58"/>
      <x:c r="S7" s="58"/>
      <x:c r="T7" s="58"/>
      <x:c r="U7" s="58"/>
      <x:c r="V7" s="58"/>
      <x:c r="W7" s="58"/>
      <x:c r="X7" s="58"/>
      <x:c r="Y7" s="58"/>
      <x:c r="Z7" s="58"/>
    </x:row>
    <x:row r="8">
      <x:c r="A8" s="58" t="str">
        <x:v>圆蓝耳钉</x:v>
      </x:c>
      <x:c r="B8" s="58" t="n">
        <x:v>2</x:v>
      </x:c>
      <x:c r="C8" s="82" t="n">
        <x:v>193.2</x:v>
      </x:c>
      <x:c r="D8" s="82" t="n">
        <x:v>152.95</x:v>
      </x:c>
      <x:c r="E8" s="82" t="n">
        <x:v>233.45</x:v>
      </x:c>
      <x:c r="F8" s="58" t="str">
        <x:v>610-770</x:v>
      </x:c>
      <x:c r="G8" s="58"/>
      <x:c r="H8" s="58"/>
      <x:c r="I8" s="58"/>
      <x:c r="J8" s="58"/>
      <x:c r="K8" s="58"/>
      <x:c r="L8" s="58"/>
      <x:c r="M8" s="58"/>
      <x:c r="N8" s="58"/>
      <x:c r="O8" s="58"/>
      <x:c r="P8" s="58"/>
      <x:c r="Q8" s="58"/>
      <x:c r="R8" s="58"/>
      <x:c r="S8" s="58"/>
      <x:c r="T8" s="58"/>
      <x:c r="U8" s="58"/>
      <x:c r="V8" s="58"/>
      <x:c r="W8" s="58"/>
      <x:c r="X8" s="58"/>
      <x:c r="Y8" s="58"/>
      <x:c r="Z8" s="58"/>
    </x:row>
    <x:row r="9">
      <x:c r="A9" s="58" t="str">
        <x:v>圆黄戒指</x:v>
      </x:c>
      <x:c r="B9" s="58" t="n">
        <x:v>2</x:v>
      </x:c>
      <x:c r="C9" s="82" t="n">
        <x:v>158.7</x:v>
      </x:c>
      <x:c r="D9" s="82" t="n">
        <x:v>144.325</x:v>
      </x:c>
      <x:c r="E9" s="82" t="n">
        <x:v>173.075</x:v>
      </x:c>
      <x:c r="F9" s="58" t="str">
        <x:v>600-650</x:v>
      </x:c>
      <x:c r="G9" s="58"/>
      <x:c r="H9" s="58"/>
      <x:c r="I9" s="58"/>
      <x:c r="J9" s="58"/>
      <x:c r="K9" s="58"/>
      <x:c r="L9" s="58"/>
      <x:c r="M9" s="58"/>
      <x:c r="N9" s="58"/>
      <x:c r="O9" s="58"/>
      <x:c r="P9" s="58"/>
      <x:c r="Q9" s="58"/>
      <x:c r="R9" s="58"/>
      <x:c r="S9" s="58"/>
      <x:c r="T9" s="58"/>
      <x:c r="U9" s="58"/>
      <x:c r="V9" s="58"/>
      <x:c r="W9" s="58"/>
      <x:c r="X9" s="58"/>
      <x:c r="Y9" s="58"/>
      <x:c r="Z9" s="58"/>
    </x:row>
    <x:row r="10">
      <x:c r="A10" s="58" t="str">
        <x:v>圆粉戒指</x:v>
      </x:c>
      <x:c r="B10" s="58" t="n">
        <x:v>1</x:v>
      </x:c>
      <x:c r="C10" s="82" t="n">
        <x:v>138.575</x:v>
      </x:c>
      <x:c r="D10" s="82" t="n">
        <x:v>138.575</x:v>
      </x:c>
      <x:c r="E10" s="82" t="n">
        <x:v>138.575</x:v>
      </x:c>
      <x:c r="F10" s="58" t="str">
        <x:v>600-600</x:v>
      </x:c>
      <x:c r="G10" s="58"/>
      <x:c r="H10" s="58"/>
      <x:c r="I10" s="58"/>
      <x:c r="J10" s="58"/>
      <x:c r="K10" s="58"/>
      <x:c r="L10" s="58"/>
      <x:c r="M10" s="58"/>
      <x:c r="N10" s="58"/>
      <x:c r="O10" s="58"/>
      <x:c r="P10" s="58"/>
      <x:c r="Q10" s="58"/>
      <x:c r="R10" s="58"/>
      <x:c r="S10" s="58"/>
      <x:c r="T10" s="58"/>
      <x:c r="U10" s="58"/>
      <x:c r="V10" s="58"/>
      <x:c r="W10" s="58"/>
      <x:c r="X10" s="58"/>
      <x:c r="Y10" s="58"/>
      <x:c r="Z10" s="58"/>
    </x:row>
    <x:row r="11">
      <x:c r="A11" s="58" t="str">
        <x:v>方粉戒指</x:v>
      </x:c>
      <x:c r="B11" s="58" t="n">
        <x:v>2</x:v>
      </x:c>
      <x:c r="C11" s="82" t="n">
        <x:v>167.4975</x:v>
      </x:c>
      <x:c r="D11" s="82" t="n">
        <x:v>146.395</x:v>
      </x:c>
      <x:c r="E11" s="82" t="n">
        <x:v>188.6</x:v>
      </x:c>
      <x:c r="F11" s="58" t="str">
        <x:v>600-680</x:v>
      </x:c>
      <x:c r="G11" s="58"/>
      <x:c r="H11" s="58"/>
      <x:c r="I11" s="58"/>
      <x:c r="J11" s="58"/>
      <x:c r="K11" s="58"/>
      <x:c r="L11" s="58"/>
      <x:c r="M11" s="58"/>
      <x:c r="N11" s="58"/>
      <x:c r="O11" s="58"/>
      <x:c r="P11" s="58"/>
      <x:c r="Q11" s="58"/>
      <x:c r="R11" s="58"/>
      <x:c r="S11" s="58"/>
      <x:c r="T11" s="58"/>
      <x:c r="U11" s="58"/>
      <x:c r="V11" s="58"/>
      <x:c r="W11" s="58"/>
      <x:c r="X11" s="58"/>
      <x:c r="Y11" s="58"/>
      <x:c r="Z11" s="58"/>
    </x:row>
    <x:row r="12">
      <x:c r="A12" s="58" t="str">
        <x:v>方粉耳钉</x:v>
      </x:c>
      <x:c r="B12" s="58" t="n">
        <x:v>1</x:v>
      </x:c>
      <x:c r="C12" s="82" t="n">
        <x:v>167.325</x:v>
      </x:c>
      <x:c r="D12" s="82" t="n">
        <x:v>167.325</x:v>
      </x:c>
      <x:c r="E12" s="82" t="n">
        <x:v>167.325</x:v>
      </x:c>
      <x:c r="F12" s="58" t="str">
        <x:v>640-640</x:v>
      </x:c>
      <x:c r="G12" s="58"/>
      <x:c r="H12" s="58"/>
      <x:c r="I12" s="58"/>
      <x:c r="J12" s="58"/>
      <x:c r="K12" s="58"/>
      <x:c r="L12" s="58"/>
      <x:c r="M12" s="58"/>
      <x:c r="N12" s="58"/>
      <x:c r="O12" s="58"/>
      <x:c r="P12" s="58"/>
      <x:c r="Q12" s="58"/>
      <x:c r="R12" s="58"/>
      <x:c r="S12" s="58"/>
      <x:c r="T12" s="58"/>
      <x:c r="U12" s="58"/>
      <x:c r="V12" s="58"/>
      <x:c r="W12" s="58"/>
      <x:c r="X12" s="58"/>
      <x:c r="Y12" s="58"/>
      <x:c r="Z12" s="58"/>
    </x:row>
    <x:row r="13">
      <x:c r="A13" s="58" t="str">
        <x:v>圆粉项链</x:v>
      </x:c>
      <x:c r="B13" s="58" t="n">
        <x:v>1</x:v>
      </x:c>
      <x:c r="C13" s="82" t="n">
        <x:v>127.65</x:v>
      </x:c>
      <x:c r="D13" s="82" t="n">
        <x:v>127.65</x:v>
      </x:c>
      <x:c r="E13" s="82" t="n">
        <x:v>127.65</x:v>
      </x:c>
      <x:c r="F13" s="58" t="str">
        <x:v>600-600</x:v>
      </x:c>
      <x:c r="G13" s="58"/>
      <x:c r="H13" s="58"/>
      <x:c r="I13" s="58"/>
      <x:c r="J13" s="58"/>
      <x:c r="K13" s="58"/>
      <x:c r="L13" s="58"/>
      <x:c r="M13" s="58"/>
      <x:c r="N13" s="58"/>
      <x:c r="O13" s="58"/>
      <x:c r="P13" s="58"/>
      <x:c r="Q13" s="58"/>
      <x:c r="R13" s="58"/>
      <x:c r="S13" s="58"/>
      <x:c r="T13" s="58"/>
      <x:c r="U13" s="58"/>
      <x:c r="V13" s="58"/>
      <x:c r="W13" s="58"/>
      <x:c r="X13" s="58"/>
      <x:c r="Y13" s="58"/>
      <x:c r="Z13" s="58"/>
    </x:row>
    <x:row r="14">
      <x:c r="A14" s="58" t="str">
        <x:v>方粉项链</x:v>
      </x:c>
      <x:c r="B14" s="58" t="n">
        <x:v>1</x:v>
      </x:c>
      <x:c r="C14" s="82" t="n">
        <x:v>143.175</x:v>
      </x:c>
      <x:c r="D14" s="82" t="n">
        <x:v>143.175</x:v>
      </x:c>
      <x:c r="E14" s="82" t="n">
        <x:v>143.175</x:v>
      </x:c>
      <x:c r="F14" s="58" t="str">
        <x:v>600-600</x:v>
      </x:c>
      <x:c r="G14" s="58"/>
      <x:c r="H14" s="58"/>
      <x:c r="I14" s="58"/>
      <x:c r="J14" s="58"/>
      <x:c r="K14" s="58"/>
      <x:c r="L14" s="58"/>
      <x:c r="M14" s="58"/>
      <x:c r="N14" s="58"/>
      <x:c r="O14" s="58"/>
      <x:c r="P14" s="58"/>
      <x:c r="Q14" s="58"/>
      <x:c r="R14" s="58"/>
      <x:c r="S14" s="58"/>
      <x:c r="T14" s="58"/>
      <x:c r="U14" s="58"/>
      <x:c r="V14" s="58"/>
      <x:c r="W14" s="58"/>
      <x:c r="X14" s="58"/>
      <x:c r="Y14" s="58"/>
      <x:c r="Z14" s="58"/>
    </x:row>
    <x:row r="15">
      <x:c r="A15" s="58" t="str">
        <x:v>碎钻手链</x:v>
      </x:c>
      <x:c r="B15" s="58" t="n">
        <x:v>1</x:v>
      </x:c>
      <x:c r="C15" s="82" t="n">
        <x:v>108.675</x:v>
      </x:c>
      <x:c r="D15" s="82" t="n">
        <x:v>108.675</x:v>
      </x:c>
      <x:c r="E15" s="82" t="n">
        <x:v>108.675</x:v>
      </x:c>
      <x:c r="F15" s="58" t="str">
        <x:v>600-600</x:v>
      </x:c>
      <x:c r="G15" s="58"/>
      <x:c r="H15" s="58"/>
      <x:c r="I15" s="58"/>
      <x:c r="J15" s="58"/>
      <x:c r="K15" s="58"/>
      <x:c r="L15" s="58"/>
      <x:c r="M15" s="58"/>
      <x:c r="N15" s="58"/>
      <x:c r="O15" s="58"/>
      <x:c r="P15" s="58"/>
      <x:c r="Q15" s="58"/>
      <x:c r="R15" s="58"/>
      <x:c r="S15" s="58"/>
      <x:c r="T15" s="58"/>
      <x:c r="U15" s="58"/>
      <x:c r="V15" s="58"/>
      <x:c r="W15" s="58"/>
      <x:c r="X15" s="58"/>
      <x:c r="Y15" s="58"/>
      <x:c r="Z15" s="58"/>
    </x:row>
    <x:row r="16">
      <x:c r="A16" s="58" t="str">
        <x:v>圆蓝戒指</x:v>
      </x:c>
      <x:c r="B16" s="58" t="n">
        <x:v>1</x:v>
      </x:c>
      <x:c r="C16" s="82" t="n">
        <x:v>158.7</x:v>
      </x:c>
      <x:c r="D16" s="82" t="n">
        <x:v>158.7</x:v>
      </x:c>
      <x:c r="E16" s="82" t="n">
        <x:v>158.7</x:v>
      </x:c>
      <x:c r="F16" s="58" t="str">
        <x:v>620-620</x:v>
      </x:c>
      <x:c r="G16" s="58"/>
      <x:c r="H16" s="58"/>
      <x:c r="I16" s="58"/>
      <x:c r="J16" s="58"/>
      <x:c r="K16" s="58"/>
      <x:c r="L16" s="58"/>
      <x:c r="M16" s="58"/>
      <x:c r="N16" s="58"/>
      <x:c r="O16" s="58"/>
      <x:c r="P16" s="58"/>
      <x:c r="Q16" s="58"/>
      <x:c r="R16" s="58"/>
      <x:c r="S16" s="58"/>
      <x:c r="T16" s="58"/>
      <x:c r="U16" s="58"/>
      <x:c r="V16" s="58"/>
      <x:c r="W16" s="58"/>
      <x:c r="X16" s="58"/>
      <x:c r="Y16" s="58"/>
      <x:c r="Z16" s="58"/>
    </x:row>
    <x:row r="17">
      <x:c r="A17" s="58" t="str">
        <x:v>碎钻耳环</x:v>
      </x:c>
      <x:c r="B17" s="58" t="n">
        <x:v>1</x:v>
      </x:c>
      <x:c r="C17" s="82" t="n">
        <x:v>102.35</x:v>
      </x:c>
      <x:c r="D17" s="82" t="n">
        <x:v>102.35</x:v>
      </x:c>
      <x:c r="E17" s="82" t="n">
        <x:v>102.35</x:v>
      </x:c>
      <x:c r="F17" s="58" t="str">
        <x:v>600-600</x:v>
      </x:c>
      <x:c r="G17" s="58"/>
      <x:c r="H17" s="58"/>
      <x:c r="I17" s="58"/>
      <x:c r="J17" s="58"/>
      <x:c r="K17" s="58"/>
      <x:c r="L17" s="58"/>
      <x:c r="M17" s="58"/>
      <x:c r="N17" s="58"/>
      <x:c r="O17" s="58"/>
      <x:c r="P17" s="58"/>
      <x:c r="Q17" s="58"/>
      <x:c r="R17" s="58"/>
      <x:c r="S17" s="58"/>
      <x:c r="T17" s="58"/>
      <x:c r="U17" s="58"/>
      <x:c r="V17" s="58"/>
      <x:c r="W17" s="58"/>
      <x:c r="X17" s="58"/>
      <x:c r="Y17" s="58"/>
      <x:c r="Z17" s="58"/>
    </x:row>
    <x:row r="18">
      <x:c r="A18" s="58" t="str">
        <x:v>大钻手链</x:v>
      </x:c>
      <x:c r="B18" s="58" t="n">
        <x:v>1</x:v>
      </x:c>
      <x:c r="C18" s="82" t="n">
        <x:v>110.975</x:v>
      </x:c>
      <x:c r="D18" s="82" t="n">
        <x:v>110.975</x:v>
      </x:c>
      <x:c r="E18" s="82" t="n">
        <x:v>110.975</x:v>
      </x:c>
      <x:c r="F18" s="58" t="str">
        <x:v>600-600</x:v>
      </x:c>
      <x:c r="G18" s="58"/>
      <x:c r="H18" s="58"/>
      <x:c r="I18" s="58"/>
      <x:c r="J18" s="58"/>
      <x:c r="K18" s="58"/>
      <x:c r="L18" s="58"/>
      <x:c r="M18" s="58"/>
      <x:c r="N18" s="58"/>
      <x:c r="O18" s="58"/>
      <x:c r="P18" s="58"/>
      <x:c r="Q18" s="58"/>
      <x:c r="R18" s="58"/>
      <x:c r="S18" s="58"/>
      <x:c r="T18" s="58"/>
      <x:c r="U18" s="58"/>
      <x:c r="V18" s="58"/>
      <x:c r="W18" s="58"/>
      <x:c r="X18" s="58"/>
      <x:c r="Y18" s="58"/>
      <x:c r="Z18" s="58"/>
    </x:row>
    <x:row r="19">
      <x:c r="A19" s="58" t="str">
        <x:v>红钻手链</x:v>
      </x:c>
      <x:c r="B19" s="58" t="n">
        <x:v>1</x:v>
      </x:c>
      <x:c r="C19" s="82" t="n">
        <x:v>414</x:v>
      </x:c>
      <x:c r="D19" s="82" t="n">
        <x:v>414</x:v>
      </x:c>
      <x:c r="E19" s="82" t="n">
        <x:v>414</x:v>
      </x:c>
      <x:c r="F19" s="58" t="str">
        <x:v>1130-1130</x:v>
      </x:c>
      <x:c r="G19" s="58"/>
      <x:c r="H19" s="58"/>
      <x:c r="I19" s="58"/>
      <x:c r="J19" s="58"/>
      <x:c r="K19" s="58"/>
      <x:c r="L19" s="58"/>
      <x:c r="M19" s="58"/>
      <x:c r="N19" s="58"/>
      <x:c r="O19" s="58"/>
      <x:c r="P19" s="58"/>
      <x:c r="Q19" s="58"/>
      <x:c r="R19" s="58"/>
      <x:c r="S19" s="58"/>
      <x:c r="T19" s="58"/>
      <x:c r="U19" s="58"/>
      <x:c r="V19" s="58"/>
      <x:c r="W19" s="58"/>
      <x:c r="X19" s="58"/>
      <x:c r="Y19" s="58"/>
      <x:c r="Z19" s="58"/>
    </x:row>
    <x:row r="20">
      <x:c r="A20" s="58" t="str">
        <x:v>蓝钻手链</x:v>
      </x:c>
      <x:c r="B20" s="58" t="n">
        <x:v>1</x:v>
      </x:c>
      <x:c r="C20" s="82" t="n">
        <x:v>414</x:v>
      </x:c>
      <x:c r="D20" s="82" t="n">
        <x:v>414</x:v>
      </x:c>
      <x:c r="E20" s="82" t="n">
        <x:v>414</x:v>
      </x:c>
      <x:c r="F20" s="58" t="str">
        <x:v>1130-1130</x:v>
      </x:c>
      <x:c r="G20" s="58"/>
      <x:c r="H20" s="58"/>
      <x:c r="I20" s="58"/>
      <x:c r="J20" s="58"/>
      <x:c r="K20" s="58"/>
      <x:c r="L20" s="58"/>
      <x:c r="M20" s="58"/>
      <x:c r="N20" s="58"/>
      <x:c r="O20" s="58"/>
      <x:c r="P20" s="58"/>
      <x:c r="Q20" s="58"/>
      <x:c r="R20" s="58"/>
      <x:c r="S20" s="58"/>
      <x:c r="T20" s="58"/>
      <x:c r="U20" s="58"/>
      <x:c r="V20" s="58"/>
      <x:c r="W20" s="58"/>
      <x:c r="X20" s="58"/>
      <x:c r="Y20" s="58"/>
      <x:c r="Z20" s="58"/>
    </x:row>
    <x:row r="21">
      <x:c r="A21" s="58" t="str">
        <x:v>绿钻手链</x:v>
      </x:c>
      <x:c r="B21" s="58" t="n">
        <x:v>1</x:v>
      </x:c>
      <x:c r="C21" s="82" t="n">
        <x:v>414</x:v>
      </x:c>
      <x:c r="D21" s="82" t="n">
        <x:v>414</x:v>
      </x:c>
      <x:c r="E21" s="82" t="n">
        <x:v>414</x:v>
      </x:c>
      <x:c r="F21" s="58" t="str">
        <x:v>1130-1130</x:v>
      </x:c>
      <x:c r="G21" s="58"/>
      <x:c r="H21" s="58"/>
      <x:c r="I21" s="58"/>
      <x:c r="J21" s="58"/>
      <x:c r="K21" s="58"/>
      <x:c r="L21" s="58"/>
      <x:c r="M21" s="58"/>
      <x:c r="N21" s="58"/>
      <x:c r="O21" s="58"/>
      <x:c r="P21" s="58"/>
      <x:c r="Q21" s="58"/>
      <x:c r="R21" s="58"/>
      <x:c r="S21" s="58"/>
      <x:c r="T21" s="58"/>
      <x:c r="U21" s="58"/>
      <x:c r="V21" s="58"/>
      <x:c r="W21" s="58"/>
      <x:c r="X21" s="58"/>
      <x:c r="Y21" s="58"/>
      <x:c r="Z21" s="58"/>
    </x:row>
    <x:row r="22">
      <x:c r="A22" s="58" t="str">
        <x:v>大钻项链</x:v>
      </x:c>
      <x:c r="B22" s="58" t="n">
        <x:v>1</x:v>
      </x:c>
      <x:c r="C22" s="82" t="n">
        <x:v>110.975</x:v>
      </x:c>
      <x:c r="D22" s="82" t="n">
        <x:v>110.975</x:v>
      </x:c>
      <x:c r="E22" s="82" t="n">
        <x:v>110.975</x:v>
      </x:c>
      <x:c r="F22" s="58" t="str">
        <x:v>600-600</x:v>
      </x:c>
      <x:c r="G22" s="58"/>
      <x:c r="H22" s="58"/>
      <x:c r="I22" s="58"/>
      <x:c r="J22" s="58"/>
      <x:c r="K22" s="58"/>
      <x:c r="L22" s="58"/>
      <x:c r="M22" s="58"/>
      <x:c r="N22" s="58"/>
      <x:c r="O22" s="58"/>
      <x:c r="P22" s="58"/>
      <x:c r="Q22" s="58"/>
      <x:c r="R22" s="58"/>
      <x:c r="S22" s="58"/>
      <x:c r="T22" s="58"/>
      <x:c r="U22" s="58"/>
      <x:c r="V22" s="58"/>
      <x:c r="W22" s="58"/>
      <x:c r="X22" s="58"/>
      <x:c r="Y22" s="58"/>
      <x:c r="Z22" s="58"/>
    </x:row>
    <x:row r="23">
      <x:c r="A23" s="58" t="str">
        <x:v>1卡耳钉</x:v>
      </x:c>
      <x:c r="B23" s="58" t="n">
        <x:v>2</x:v>
      </x:c>
      <x:c r="C23" s="82" t="n">
        <x:v>89.7</x:v>
      </x:c>
      <x:c r="D23" s="82" t="n">
        <x:v>84.525</x:v>
      </x:c>
      <x:c r="E23" s="82" t="n">
        <x:v>94.875</x:v>
      </x:c>
      <x:c r="F23" s="58" t="str">
        <x:v>600-600</x:v>
      </x:c>
      <x:c r="G23" s="58"/>
      <x:c r="H23" s="58"/>
      <x:c r="I23" s="58"/>
      <x:c r="J23" s="58"/>
      <x:c r="K23" s="58"/>
      <x:c r="L23" s="58"/>
      <x:c r="M23" s="58"/>
      <x:c r="N23" s="58"/>
      <x:c r="O23" s="58"/>
      <x:c r="P23" s="58"/>
      <x:c r="Q23" s="58"/>
      <x:c r="R23" s="58"/>
      <x:c r="S23" s="58"/>
      <x:c r="T23" s="58"/>
      <x:c r="U23" s="58"/>
      <x:c r="V23" s="58"/>
      <x:c r="W23" s="58"/>
      <x:c r="X23" s="58"/>
      <x:c r="Y23" s="58"/>
      <x:c r="Z23" s="58"/>
    </x:row>
    <x:row r="24">
      <x:c r="A24" s="58" t="str">
        <x:v>碎钻项链</x:v>
      </x:c>
      <x:c r="B24" s="58" t="n">
        <x:v>1</x:v>
      </x:c>
      <x:c r="C24" s="82" t="n">
        <x:v>147.775</x:v>
      </x:c>
      <x:c r="D24" s="82" t="n">
        <x:v>147.775</x:v>
      </x:c>
      <x:c r="E24" s="82" t="n">
        <x:v>147.775</x:v>
      </x:c>
      <x:c r="F24" s="58" t="str">
        <x:v>600-600</x:v>
      </x:c>
      <x:c r="G24" s="58"/>
      <x:c r="H24" s="58"/>
      <x:c r="I24" s="58"/>
      <x:c r="J24" s="58"/>
      <x:c r="K24" s="58"/>
      <x:c r="L24" s="58"/>
      <x:c r="M24" s="58"/>
      <x:c r="N24" s="58"/>
      <x:c r="O24" s="58"/>
      <x:c r="P24" s="58"/>
      <x:c r="Q24" s="58"/>
      <x:c r="R24" s="58"/>
      <x:c r="S24" s="58"/>
      <x:c r="T24" s="58"/>
      <x:c r="U24" s="58"/>
      <x:c r="V24" s="58"/>
      <x:c r="W24" s="58"/>
      <x:c r="X24" s="58"/>
      <x:c r="Y24" s="58"/>
      <x:c r="Z24" s="58"/>
    </x:row>
    <x:row r="25">
      <x:c r="A25" s="58" t="str">
        <x:v>1卡手链</x:v>
      </x:c>
      <x:c r="B25" s="58" t="n">
        <x:v>1</x:v>
      </x:c>
      <x:c r="C25" s="82" t="n">
        <x:v>86.25</x:v>
      </x:c>
      <x:c r="D25" s="82" t="n">
        <x:v>86.25</x:v>
      </x:c>
      <x:c r="E25" s="82" t="n">
        <x:v>86.25</x:v>
      </x:c>
      <x:c r="F25" s="58" t="str">
        <x:v>600-600</x:v>
      </x:c>
      <x:c r="G25" s="58"/>
      <x:c r="H25" s="58"/>
      <x:c r="I25" s="58"/>
      <x:c r="J25" s="58"/>
      <x:c r="K25" s="58"/>
      <x:c r="L25" s="58"/>
      <x:c r="M25" s="58"/>
      <x:c r="N25" s="58"/>
      <x:c r="O25" s="58"/>
      <x:c r="P25" s="58"/>
      <x:c r="Q25" s="58"/>
      <x:c r="R25" s="58"/>
      <x:c r="S25" s="58"/>
      <x:c r="T25" s="58"/>
      <x:c r="U25" s="58"/>
      <x:c r="V25" s="58"/>
      <x:c r="W25" s="58"/>
      <x:c r="X25" s="58"/>
      <x:c r="Y25" s="58"/>
      <x:c r="Z25" s="58"/>
    </x:row>
    <x:row r="26">
      <x:c r="A26" s="58" t="str">
        <x:v>2卡戒指</x:v>
      </x:c>
      <x:c r="B26" s="58" t="n">
        <x:v>7</x:v>
      </x:c>
      <x:c r="C26" s="82" t="n">
        <x:v>145.80357142857142</x:v>
      </x:c>
      <x:c r="D26" s="82" t="n">
        <x:v>131.1</x:v>
      </x:c>
      <x:c r="E26" s="82" t="n">
        <x:v>173.075</x:v>
      </x:c>
      <x:c r="F26" s="58" t="str">
        <x:v>600-650</x:v>
      </x:c>
      <x:c r="G26" s="58"/>
      <x:c r="H26" s="58"/>
      <x:c r="I26" s="58"/>
      <x:c r="J26" s="58"/>
      <x:c r="K26" s="58"/>
      <x:c r="L26" s="58"/>
      <x:c r="M26" s="58"/>
      <x:c r="N26" s="58"/>
      <x:c r="O26" s="58"/>
      <x:c r="P26" s="58"/>
      <x:c r="Q26" s="58"/>
      <x:c r="R26" s="58"/>
      <x:c r="S26" s="58"/>
      <x:c r="T26" s="58"/>
      <x:c r="U26" s="58"/>
      <x:c r="V26" s="58"/>
      <x:c r="W26" s="58"/>
      <x:c r="X26" s="58"/>
      <x:c r="Y26" s="58"/>
      <x:c r="Z26" s="58"/>
    </x:row>
    <x:row r="27">
      <x:c r="A27" s="58" t="str">
        <x:v>3卡戒指</x:v>
      </x:c>
      <x:c r="B27" s="58" t="n">
        <x:v>1</x:v>
      </x:c>
      <x:c r="C27" s="82" t="n">
        <x:v>148.925</x:v>
      </x:c>
      <x:c r="D27" s="82" t="n">
        <x:v>148.925</x:v>
      </x:c>
      <x:c r="E27" s="82" t="n">
        <x:v>148.925</x:v>
      </x:c>
      <x:c r="F27" s="58" t="str">
        <x:v>600-600</x:v>
      </x:c>
      <x:c r="G27" s="58"/>
      <x:c r="H27" s="58"/>
      <x:c r="I27" s="58"/>
      <x:c r="J27" s="58"/>
      <x:c r="K27" s="58"/>
      <x:c r="L27" s="58"/>
      <x:c r="M27" s="58"/>
      <x:c r="N27" s="58"/>
      <x:c r="O27" s="58"/>
      <x:c r="P27" s="58"/>
      <x:c r="Q27" s="58"/>
      <x:c r="R27" s="58"/>
      <x:c r="S27" s="58"/>
      <x:c r="T27" s="58"/>
      <x:c r="U27" s="58"/>
      <x:c r="V27" s="58"/>
      <x:c r="W27" s="58"/>
      <x:c r="X27" s="58"/>
      <x:c r="Y27" s="58"/>
      <x:c r="Z27" s="58"/>
    </x:row>
    <x:row r="28">
      <x:c r="A28" s="58" t="str">
        <x:v>1卡项链</x:v>
      </x:c>
      <x:c r="B28" s="58" t="n">
        <x:v>2</x:v>
      </x:c>
      <x:c r="C28" s="82" t="n">
        <x:v>125.695</x:v>
      </x:c>
      <x:c r="D28" s="82" t="n">
        <x:v>120.75</x:v>
      </x:c>
      <x:c r="E28" s="82" t="n">
        <x:v>130.64</x:v>
      </x:c>
      <x:c r="F28" s="58" t="str">
        <x:v>600-600</x:v>
      </x:c>
      <x:c r="G28" s="58"/>
      <x:c r="H28" s="58"/>
      <x:c r="I28" s="58"/>
      <x:c r="J28" s="58"/>
      <x:c r="K28" s="58"/>
      <x:c r="L28" s="58"/>
      <x:c r="M28" s="58"/>
      <x:c r="N28" s="58"/>
      <x:c r="O28" s="58"/>
      <x:c r="P28" s="58"/>
      <x:c r="Q28" s="58"/>
      <x:c r="R28" s="58"/>
      <x:c r="S28" s="58"/>
      <x:c r="T28" s="58"/>
      <x:c r="U28" s="58"/>
      <x:c r="V28" s="58"/>
      <x:c r="W28" s="58"/>
      <x:c r="X28" s="58"/>
      <x:c r="Y28" s="58"/>
      <x:c r="Z28" s="58"/>
    </x:row>
    <x:row r="29">
      <x:c r="A29" s="58" t="str">
        <x:v>1卡戒指</x:v>
      </x:c>
      <x:c r="B29" s="58" t="n">
        <x:v>3</x:v>
      </x:c>
      <x:c r="C29" s="82" t="n">
        <x:v>114.425</x:v>
      </x:c>
      <x:c r="D29" s="82" t="n">
        <x:v>92.575</x:v>
      </x:c>
      <x:c r="E29" s="82" t="n">
        <x:v>130.525</x:v>
      </x:c>
      <x:c r="F29" s="58" t="str">
        <x:v>600-600</x:v>
      </x:c>
      <x:c r="G29" s="58"/>
      <x:c r="H29" s="58"/>
      <x:c r="I29" s="58"/>
      <x:c r="J29" s="58"/>
      <x:c r="K29" s="58"/>
      <x:c r="L29" s="58"/>
      <x:c r="M29" s="58"/>
      <x:c r="N29" s="58"/>
      <x:c r="O29" s="58"/>
      <x:c r="P29" s="58"/>
      <x:c r="Q29" s="58"/>
      <x:c r="R29" s="58"/>
      <x:c r="S29" s="58"/>
      <x:c r="T29" s="58"/>
      <x:c r="U29" s="58"/>
      <x:c r="V29" s="58"/>
      <x:c r="W29" s="58"/>
      <x:c r="X29" s="58"/>
      <x:c r="Y29" s="58"/>
      <x:c r="Z29" s="58"/>
    </x:row>
    <x:row r="30">
      <x:c r="A30" s="58" t="str">
        <x:v>2卡耳钉</x:v>
      </x:c>
      <x:c r="B30" s="58" t="n">
        <x:v>1</x:v>
      </x:c>
      <x:c r="C30" s="82" t="n">
        <x:v>126.5</x:v>
      </x:c>
      <x:c r="D30" s="82" t="n">
        <x:v>126.5</x:v>
      </x:c>
      <x:c r="E30" s="82" t="n">
        <x:v>126.5</x:v>
      </x:c>
      <x:c r="F30" s="58" t="str">
        <x:v>600-600</x:v>
      </x:c>
      <x:c r="G30" s="58"/>
      <x:c r="H30" s="58"/>
      <x:c r="I30" s="58"/>
      <x:c r="J30" s="58"/>
      <x:c r="K30" s="58"/>
      <x:c r="L30" s="58"/>
      <x:c r="M30" s="58"/>
      <x:c r="N30" s="58"/>
      <x:c r="O30" s="58"/>
      <x:c r="P30" s="58"/>
      <x:c r="Q30" s="58"/>
      <x:c r="R30" s="58"/>
      <x:c r="S30" s="58"/>
      <x:c r="T30" s="58"/>
      <x:c r="U30" s="58"/>
      <x:c r="V30" s="58"/>
      <x:c r="W30" s="58"/>
      <x:c r="X30" s="58"/>
      <x:c r="Y30" s="58"/>
      <x:c r="Z30" s="58"/>
    </x:row>
    <x:row r="31">
      <x:c r="A31" s="58" t="str">
        <x:v>2卡项链</x:v>
      </x:c>
      <x:c r="B31" s="58" t="n">
        <x:v>1</x:v>
      </x:c>
      <x:c r="C31" s="82" t="n">
        <x:v>155.825</x:v>
      </x:c>
      <x:c r="D31" s="82" t="n">
        <x:v>155.825</x:v>
      </x:c>
      <x:c r="E31" s="82" t="n">
        <x:v>155.825</x:v>
      </x:c>
      <x:c r="F31" s="58" t="str">
        <x:v>620-620</x:v>
      </x:c>
      <x:c r="G31" s="58"/>
      <x:c r="H31" s="58"/>
      <x:c r="I31" s="58"/>
      <x:c r="J31" s="58"/>
      <x:c r="K31" s="58"/>
      <x:c r="L31" s="58"/>
      <x:c r="M31" s="58"/>
      <x:c r="N31" s="58"/>
      <x:c r="O31" s="58"/>
      <x:c r="P31" s="58"/>
      <x:c r="Q31" s="58"/>
      <x:c r="R31" s="58"/>
      <x:c r="S31" s="58"/>
      <x:c r="T31" s="58"/>
      <x:c r="U31" s="58"/>
      <x:c r="V31" s="58"/>
      <x:c r="W31" s="58"/>
      <x:c r="X31" s="58"/>
      <x:c r="Y31" s="58"/>
      <x:c r="Z31" s="58"/>
    </x:row>
    <x:row r="32">
      <x:c r="A32" s="58" t="str">
        <x:v>50分耳钉</x:v>
      </x:c>
      <x:c r="B32" s="58" t="n">
        <x:v>1</x:v>
      </x:c>
      <x:c r="C32" s="82" t="n">
        <x:v>106.95</x:v>
      </x:c>
      <x:c r="D32" s="82" t="n">
        <x:v>106.95</x:v>
      </x:c>
      <x:c r="E32" s="82" t="n">
        <x:v>106.95</x:v>
      </x:c>
      <x:c r="F32" s="58" t="str">
        <x:v>600-600</x:v>
      </x:c>
      <x:c r="G32" s="58"/>
      <x:c r="H32" s="58"/>
      <x:c r="I32" s="58"/>
      <x:c r="J32" s="58"/>
      <x:c r="K32" s="58"/>
      <x:c r="L32" s="58"/>
      <x:c r="M32" s="58"/>
      <x:c r="N32" s="58"/>
      <x:c r="O32" s="58"/>
      <x:c r="P32" s="58"/>
      <x:c r="Q32" s="58"/>
      <x:c r="R32" s="58"/>
      <x:c r="S32" s="58"/>
      <x:c r="T32" s="58"/>
      <x:c r="U32" s="58"/>
      <x:c r="V32" s="58"/>
      <x:c r="W32" s="58"/>
      <x:c r="X32" s="58"/>
      <x:c r="Y32" s="58"/>
      <x:c r="Z32" s="58"/>
    </x:row>
    <x:row r="33">
      <x:c r="A33" s="58" t="str">
        <x:v>碎钻戒指</x:v>
      </x:c>
      <x:c r="B33" s="58" t="n">
        <x:v>1</x:v>
      </x:c>
      <x:c r="C33" s="82" t="n">
        <x:v>98.9</x:v>
      </x:c>
      <x:c r="D33" s="82" t="n">
        <x:v>98.9</x:v>
      </x:c>
      <x:c r="E33" s="82" t="n">
        <x:v>98.9</x:v>
      </x:c>
      <x:c r="F33" s="58" t="str">
        <x:v>600-600</x:v>
      </x:c>
      <x:c r="G33" s="58"/>
      <x:c r="H33" s="58"/>
      <x:c r="I33" s="58"/>
      <x:c r="J33" s="58"/>
      <x:c r="K33" s="58"/>
      <x:c r="L33" s="58"/>
      <x:c r="M33" s="58"/>
      <x:c r="N33" s="58"/>
      <x:c r="O33" s="58"/>
      <x:c r="P33" s="58"/>
      <x:c r="Q33" s="58"/>
      <x:c r="R33" s="58"/>
      <x:c r="S33" s="58"/>
      <x:c r="T33" s="58"/>
      <x:c r="U33" s="58"/>
      <x:c r="V33" s="58"/>
      <x:c r="W33" s="58"/>
      <x:c r="X33" s="58"/>
      <x:c r="Y33" s="58"/>
      <x:c r="Z33" s="58"/>
    </x:row>
    <x:row r="34">
      <x:c r="A34" s="58"/>
      <x:c r="B34" s="58"/>
      <x:c r="C34" s="58"/>
      <x:c r="D34" s="58"/>
      <x:c r="E34" s="58"/>
      <x:c r="F34" s="58"/>
      <x:c r="G34" s="58"/>
      <x:c r="H34" s="58"/>
      <x:c r="I34" s="58"/>
      <x:c r="J34" s="58"/>
      <x:c r="K34" s="58"/>
      <x:c r="L34" s="58"/>
      <x:c r="M34" s="58"/>
      <x:c r="N34" s="58"/>
      <x:c r="O34" s="58"/>
      <x:c r="P34" s="58"/>
      <x:c r="Q34" s="58"/>
      <x:c r="R34" s="58"/>
      <x:c r="S34" s="58"/>
      <x:c r="T34" s="58"/>
      <x:c r="U34" s="58"/>
      <x:c r="V34" s="58"/>
      <x:c r="W34" s="58"/>
      <x:c r="X34" s="58"/>
      <x:c r="Y34" s="58"/>
      <x:c r="Z34" s="58"/>
    </x:row>
    <x:row r="35">
      <x:c r="A35" s="58"/>
      <x:c r="B35" s="58"/>
      <x:c r="C35" s="58"/>
      <x:c r="D35" s="58"/>
      <x:c r="E35" s="58"/>
      <x:c r="F35" s="58"/>
      <x:c r="G35" s="58"/>
      <x:c r="H35" s="58"/>
      <x:c r="I35" s="58"/>
      <x:c r="J35" s="58"/>
      <x:c r="K35" s="58"/>
      <x:c r="L35" s="58"/>
      <x:c r="M35" s="58"/>
      <x:c r="N35" s="58"/>
      <x:c r="O35" s="58"/>
      <x:c r="P35" s="58"/>
      <x:c r="Q35" s="58"/>
      <x:c r="R35" s="58"/>
      <x:c r="S35" s="58"/>
      <x:c r="T35" s="58"/>
      <x:c r="U35" s="58"/>
      <x:c r="V35" s="58"/>
      <x:c r="W35" s="58"/>
      <x:c r="X35" s="58"/>
      <x:c r="Y35" s="58"/>
      <x:c r="Z35" s="58"/>
    </x:row>
    <x:row r="36">
      <x:c r="A36" s="58"/>
      <x:c r="B36" s="58"/>
      <x:c r="C36" s="58"/>
      <x:c r="D36" s="58"/>
      <x:c r="E36" s="58"/>
      <x:c r="F36" s="58"/>
      <x:c r="G36" s="58"/>
      <x:c r="H36" s="58"/>
      <x:c r="I36" s="58"/>
      <x:c r="J36" s="58"/>
      <x:c r="K36" s="58"/>
      <x:c r="L36" s="58"/>
      <x:c r="M36" s="58"/>
      <x:c r="N36" s="58"/>
      <x:c r="O36" s="58"/>
      <x:c r="P36" s="58"/>
      <x:c r="Q36" s="58"/>
      <x:c r="R36" s="58"/>
      <x:c r="S36" s="58"/>
      <x:c r="T36" s="58"/>
      <x:c r="U36" s="58"/>
      <x:c r="V36" s="58"/>
      <x:c r="W36" s="58"/>
      <x:c r="X36" s="58"/>
      <x:c r="Y36" s="58"/>
      <x:c r="Z36" s="58"/>
    </x:row>
    <x:row r="37">
      <x:c r="A37" s="58"/>
      <x:c r="B37" s="58"/>
      <x:c r="C37" s="58"/>
      <x:c r="D37" s="58"/>
      <x:c r="E37" s="58"/>
      <x:c r="F37" s="58"/>
      <x:c r="G37" s="58"/>
      <x:c r="H37" s="58"/>
      <x:c r="I37" s="58"/>
      <x:c r="J37" s="58"/>
      <x:c r="K37" s="58"/>
      <x:c r="L37" s="58"/>
      <x:c r="M37" s="58"/>
      <x:c r="N37" s="58"/>
      <x:c r="O37" s="58"/>
      <x:c r="P37" s="58"/>
      <x:c r="Q37" s="58"/>
      <x:c r="R37" s="58"/>
      <x:c r="S37" s="58"/>
      <x:c r="T37" s="58"/>
      <x:c r="U37" s="58"/>
      <x:c r="V37" s="58"/>
      <x:c r="W37" s="58"/>
      <x:c r="X37" s="58"/>
      <x:c r="Y37" s="58"/>
      <x:c r="Z37" s="58"/>
    </x:row>
    <x:row r="38">
      <x:c r="A38" s="58"/>
      <x:c r="B38" s="58"/>
      <x:c r="C38" s="58"/>
      <x:c r="D38" s="58"/>
      <x:c r="E38" s="58"/>
      <x:c r="F38" s="58"/>
      <x:c r="G38" s="58"/>
      <x:c r="H38" s="58"/>
      <x:c r="I38" s="58"/>
      <x:c r="J38" s="58"/>
      <x:c r="K38" s="58"/>
      <x:c r="L38" s="58"/>
      <x:c r="M38" s="58"/>
      <x:c r="N38" s="58"/>
      <x:c r="O38" s="58"/>
      <x:c r="P38" s="58"/>
      <x:c r="Q38" s="58"/>
      <x:c r="R38" s="58"/>
      <x:c r="S38" s="58"/>
      <x:c r="T38" s="58"/>
      <x:c r="U38" s="58"/>
      <x:c r="V38" s="58"/>
      <x:c r="W38" s="58"/>
      <x:c r="X38" s="58"/>
      <x:c r="Y38" s="58"/>
      <x:c r="Z38" s="58"/>
    </x:row>
    <x:row r="39">
      <x:c r="A39" s="58"/>
      <x:c r="B39" s="58"/>
      <x:c r="C39" s="58"/>
      <x:c r="D39" s="58"/>
      <x:c r="E39" s="58"/>
      <x:c r="F39" s="58"/>
      <x:c r="G39" s="58"/>
      <x:c r="H39" s="58"/>
      <x:c r="I39" s="58"/>
      <x:c r="J39" s="58"/>
      <x:c r="K39" s="58"/>
      <x:c r="L39" s="58"/>
      <x:c r="M39" s="58"/>
      <x:c r="N39" s="58"/>
      <x:c r="O39" s="58"/>
      <x:c r="P39" s="58"/>
      <x:c r="Q39" s="58"/>
      <x:c r="R39" s="58"/>
      <x:c r="S39" s="58"/>
      <x:c r="T39" s="58"/>
      <x:c r="U39" s="58"/>
      <x:c r="V39" s="58"/>
      <x:c r="W39" s="58"/>
      <x:c r="X39" s="58"/>
      <x:c r="Y39" s="58"/>
      <x:c r="Z39" s="58"/>
    </x:row>
    <x:row r="40">
      <x:c r="A40" s="58"/>
      <x:c r="B40" s="58"/>
      <x:c r="C40" s="58"/>
      <x:c r="D40" s="58"/>
      <x:c r="E40" s="58"/>
      <x:c r="F40" s="58"/>
      <x:c r="G40" s="58"/>
      <x:c r="H40" s="58"/>
      <x:c r="I40" s="58"/>
      <x:c r="J40" s="58"/>
      <x:c r="K40" s="58"/>
      <x:c r="L40" s="58"/>
      <x:c r="M40" s="58"/>
      <x:c r="N40" s="58"/>
      <x:c r="O40" s="58"/>
      <x:c r="P40" s="58"/>
      <x:c r="Q40" s="58"/>
      <x:c r="R40" s="58"/>
      <x:c r="S40" s="58"/>
      <x:c r="T40" s="58"/>
      <x:c r="U40" s="58"/>
      <x:c r="V40" s="58"/>
      <x:c r="W40" s="58"/>
      <x:c r="X40" s="58"/>
      <x:c r="Y40" s="58"/>
      <x:c r="Z40" s="58"/>
    </x:row>
    <x:row r="41">
      <x:c r="A41" s="58"/>
      <x:c r="B41" s="58"/>
      <x:c r="C41" s="58"/>
      <x:c r="D41" s="58"/>
      <x:c r="E41" s="58"/>
      <x:c r="F41" s="58"/>
      <x:c r="G41" s="58"/>
      <x:c r="H41" s="58"/>
      <x:c r="I41" s="58"/>
      <x:c r="J41" s="58"/>
      <x:c r="K41" s="58"/>
      <x:c r="L41" s="58"/>
      <x:c r="M41" s="58"/>
      <x:c r="N41" s="58"/>
      <x:c r="O41" s="58"/>
      <x:c r="P41" s="58"/>
      <x:c r="Q41" s="58"/>
      <x:c r="R41" s="58"/>
      <x:c r="S41" s="58"/>
      <x:c r="T41" s="58"/>
      <x:c r="U41" s="58"/>
      <x:c r="V41" s="58"/>
      <x:c r="W41" s="58"/>
      <x:c r="X41" s="58"/>
      <x:c r="Y41" s="58"/>
      <x:c r="Z41" s="58"/>
    </x:row>
    <x:row r="42">
      <x:c r="A42" s="58"/>
      <x:c r="B42" s="58"/>
      <x:c r="C42" s="58"/>
      <x:c r="D42" s="58"/>
      <x:c r="E42" s="58"/>
      <x:c r="F42" s="58"/>
      <x:c r="G42" s="58"/>
      <x:c r="H42" s="58"/>
      <x:c r="I42" s="58"/>
      <x:c r="J42" s="58"/>
      <x:c r="K42" s="58"/>
      <x:c r="L42" s="58"/>
      <x:c r="M42" s="58"/>
      <x:c r="N42" s="58"/>
      <x:c r="O42" s="58"/>
      <x:c r="P42" s="58"/>
      <x:c r="Q42" s="58"/>
      <x:c r="R42" s="58"/>
      <x:c r="S42" s="58"/>
      <x:c r="T42" s="58"/>
      <x:c r="U42" s="58"/>
      <x:c r="V42" s="58"/>
      <x:c r="W42" s="58"/>
      <x:c r="X42" s="58"/>
      <x:c r="Y42" s="58"/>
      <x:c r="Z42" s="58"/>
    </x:row>
    <x:row r="43">
      <x:c r="A43" s="58"/>
      <x:c r="B43" s="58"/>
      <x:c r="C43" s="58"/>
      <x:c r="D43" s="58"/>
      <x:c r="E43" s="58"/>
      <x:c r="F43" s="58"/>
      <x:c r="G43" s="58"/>
      <x:c r="H43" s="58"/>
      <x:c r="I43" s="58"/>
      <x:c r="J43" s="58"/>
      <x:c r="K43" s="58"/>
      <x:c r="L43" s="58"/>
      <x:c r="M43" s="58"/>
      <x:c r="N43" s="58"/>
      <x:c r="O43" s="58"/>
      <x:c r="P43" s="58"/>
      <x:c r="Q43" s="58"/>
      <x:c r="R43" s="58"/>
      <x:c r="S43" s="58"/>
      <x:c r="T43" s="58"/>
      <x:c r="U43" s="58"/>
      <x:c r="V43" s="58"/>
      <x:c r="W43" s="58"/>
      <x:c r="X43" s="58"/>
      <x:c r="Y43" s="58"/>
      <x:c r="Z43" s="58"/>
    </x:row>
    <x:row r="44">
      <x:c r="A44" s="58"/>
      <x:c r="B44" s="58"/>
      <x:c r="C44" s="58"/>
      <x:c r="D44" s="58"/>
      <x:c r="E44" s="58"/>
      <x:c r="F44" s="58"/>
      <x:c r="G44" s="58"/>
      <x:c r="H44" s="58"/>
      <x:c r="I44" s="58"/>
      <x:c r="J44" s="58"/>
      <x:c r="K44" s="58"/>
      <x:c r="L44" s="58"/>
      <x:c r="M44" s="58"/>
      <x:c r="N44" s="58"/>
      <x:c r="O44" s="58"/>
      <x:c r="P44" s="58"/>
      <x:c r="Q44" s="58"/>
      <x:c r="R44" s="58"/>
      <x:c r="S44" s="58"/>
      <x:c r="T44" s="58"/>
      <x:c r="U44" s="58"/>
      <x:c r="V44" s="58"/>
      <x:c r="W44" s="58"/>
      <x:c r="X44" s="58"/>
      <x:c r="Y44" s="58"/>
      <x:c r="Z44" s="58"/>
    </x:row>
    <x:row r="45">
      <x:c r="A45" s="58"/>
      <x:c r="B45" s="58"/>
      <x:c r="C45" s="58"/>
      <x:c r="D45" s="58"/>
      <x:c r="E45" s="58"/>
      <x:c r="F45" s="58"/>
      <x:c r="G45" s="58"/>
      <x:c r="H45" s="58"/>
      <x:c r="I45" s="58"/>
      <x:c r="J45" s="58"/>
      <x:c r="K45" s="58"/>
      <x:c r="L45" s="58"/>
      <x:c r="M45" s="58"/>
      <x:c r="N45" s="58"/>
      <x:c r="O45" s="58"/>
      <x:c r="P45" s="58"/>
      <x:c r="Q45" s="58"/>
      <x:c r="R45" s="58"/>
      <x:c r="S45" s="58"/>
      <x:c r="T45" s="58"/>
      <x:c r="U45" s="58"/>
      <x:c r="V45" s="58"/>
      <x:c r="W45" s="58"/>
      <x:c r="X45" s="58"/>
      <x:c r="Y45" s="58"/>
      <x:c r="Z45" s="58"/>
    </x:row>
    <x:row r="46">
      <x:c r="A46" s="58"/>
      <x:c r="B46" s="58"/>
      <x:c r="C46" s="58"/>
      <x:c r="D46" s="58"/>
      <x:c r="E46" s="58"/>
      <x:c r="F46" s="58"/>
      <x:c r="G46" s="58"/>
      <x:c r="H46" s="58"/>
      <x:c r="I46" s="58"/>
      <x:c r="J46" s="58"/>
      <x:c r="K46" s="58"/>
      <x:c r="L46" s="58"/>
      <x:c r="M46" s="58"/>
      <x:c r="N46" s="58"/>
      <x:c r="O46" s="58"/>
      <x:c r="P46" s="58"/>
      <x:c r="Q46" s="58"/>
      <x:c r="R46" s="58"/>
      <x:c r="S46" s="58"/>
      <x:c r="T46" s="58"/>
      <x:c r="U46" s="58"/>
      <x:c r="V46" s="58"/>
      <x:c r="W46" s="58"/>
      <x:c r="X46" s="58"/>
      <x:c r="Y46" s="58"/>
      <x:c r="Z46" s="58"/>
    </x:row>
    <x:row r="47">
      <x:c r="A47" s="58"/>
      <x:c r="B47" s="58"/>
      <x:c r="C47" s="58"/>
      <x:c r="D47" s="58"/>
      <x:c r="E47" s="58"/>
      <x:c r="F47" s="58"/>
      <x:c r="G47" s="58"/>
      <x:c r="H47" s="58"/>
      <x:c r="I47" s="58"/>
      <x:c r="J47" s="58"/>
      <x:c r="K47" s="58"/>
      <x:c r="L47" s="58"/>
      <x:c r="M47" s="58"/>
      <x:c r="N47" s="58"/>
      <x:c r="O47" s="58"/>
      <x:c r="P47" s="58"/>
      <x:c r="Q47" s="58"/>
      <x:c r="R47" s="58"/>
      <x:c r="S47" s="58"/>
      <x:c r="T47" s="58"/>
      <x:c r="U47" s="58"/>
      <x:c r="V47" s="58"/>
      <x:c r="W47" s="58"/>
      <x:c r="X47" s="58"/>
      <x:c r="Y47" s="58"/>
      <x:c r="Z47" s="58"/>
    </x:row>
    <x:row r="48">
      <x:c r="A48" s="58"/>
      <x:c r="B48" s="58"/>
      <x:c r="C48" s="58"/>
      <x:c r="D48" s="58"/>
      <x:c r="E48" s="58"/>
      <x:c r="F48" s="58"/>
      <x:c r="G48" s="58"/>
      <x:c r="H48" s="58"/>
      <x:c r="I48" s="58"/>
      <x:c r="J48" s="58"/>
      <x:c r="K48" s="58"/>
      <x:c r="L48" s="58"/>
      <x:c r="M48" s="58"/>
      <x:c r="N48" s="58"/>
      <x:c r="O48" s="58"/>
      <x:c r="P48" s="58"/>
      <x:c r="Q48" s="58"/>
      <x:c r="R48" s="58"/>
      <x:c r="S48" s="58"/>
      <x:c r="T48" s="58"/>
      <x:c r="U48" s="58"/>
      <x:c r="V48" s="58"/>
      <x:c r="W48" s="58"/>
      <x:c r="X48" s="58"/>
      <x:c r="Y48" s="58"/>
      <x:c r="Z48" s="58"/>
    </x:row>
    <x:row r="49">
      <x:c r="A49" s="58"/>
      <x:c r="B49" s="58"/>
      <x:c r="C49" s="58"/>
      <x:c r="D49" s="58"/>
      <x:c r="E49" s="58"/>
      <x:c r="F49" s="58"/>
      <x:c r="G49" s="58"/>
      <x:c r="H49" s="58"/>
      <x:c r="I49" s="58"/>
      <x:c r="J49" s="58"/>
      <x:c r="K49" s="58"/>
      <x:c r="L49" s="58"/>
      <x:c r="M49" s="58"/>
      <x:c r="N49" s="58"/>
      <x:c r="O49" s="58"/>
      <x:c r="P49" s="58"/>
      <x:c r="Q49" s="58"/>
      <x:c r="R49" s="58"/>
      <x:c r="S49" s="58"/>
      <x:c r="T49" s="58"/>
      <x:c r="U49" s="58"/>
      <x:c r="V49" s="58"/>
      <x:c r="W49" s="58"/>
      <x:c r="X49" s="58"/>
      <x:c r="Y49" s="58"/>
      <x:c r="Z49" s="58"/>
    </x:row>
    <x:row r="50">
      <x:c r="A50" s="58"/>
      <x:c r="B50" s="58"/>
      <x:c r="C50" s="58"/>
      <x:c r="D50" s="58"/>
      <x:c r="E50" s="58"/>
      <x:c r="F50" s="58"/>
      <x:c r="G50" s="58"/>
      <x:c r="H50" s="58"/>
      <x:c r="I50" s="58"/>
      <x:c r="J50" s="58"/>
      <x:c r="K50" s="58"/>
      <x:c r="L50" s="58"/>
      <x:c r="M50" s="58"/>
      <x:c r="N50" s="58"/>
      <x:c r="O50" s="58"/>
      <x:c r="P50" s="58"/>
      <x:c r="Q50" s="58"/>
      <x:c r="R50" s="58"/>
      <x:c r="S50" s="58"/>
      <x:c r="T50" s="58"/>
      <x:c r="U50" s="58"/>
      <x:c r="V50" s="58"/>
      <x:c r="W50" s="58"/>
      <x:c r="X50" s="58"/>
      <x:c r="Y50" s="58"/>
      <x:c r="Z50" s="58"/>
    </x:row>
    <x:row r="51">
      <x:c r="A51" s="58"/>
      <x:c r="B51" s="58"/>
      <x:c r="C51" s="58"/>
      <x:c r="D51" s="58"/>
      <x:c r="E51" s="58"/>
      <x:c r="F51" s="58"/>
      <x:c r="G51" s="58"/>
      <x:c r="H51" s="58"/>
      <x:c r="I51" s="58"/>
      <x:c r="J51" s="58"/>
      <x:c r="K51" s="58"/>
      <x:c r="L51" s="58"/>
      <x:c r="M51" s="58"/>
      <x:c r="N51" s="58"/>
      <x:c r="O51" s="58"/>
      <x:c r="P51" s="58"/>
      <x:c r="Q51" s="58"/>
      <x:c r="R51" s="58"/>
      <x:c r="S51" s="58"/>
      <x:c r="T51" s="58"/>
      <x:c r="U51" s="58"/>
      <x:c r="V51" s="58"/>
      <x:c r="W51" s="58"/>
      <x:c r="X51" s="58"/>
      <x:c r="Y51" s="58"/>
      <x:c r="Z51" s="58"/>
    </x:row>
    <x:row r="52">
      <x:c r="A52" s="58"/>
      <x:c r="B52" s="58"/>
      <x:c r="C52" s="58"/>
      <x:c r="D52" s="58"/>
      <x:c r="E52" s="58"/>
      <x:c r="F52" s="58"/>
      <x:c r="G52" s="58"/>
      <x:c r="H52" s="58"/>
      <x:c r="I52" s="58"/>
      <x:c r="J52" s="58"/>
      <x:c r="K52" s="58"/>
      <x:c r="L52" s="58"/>
      <x:c r="M52" s="58"/>
      <x:c r="N52" s="58"/>
      <x:c r="O52" s="58"/>
      <x:c r="P52" s="58"/>
      <x:c r="Q52" s="58"/>
      <x:c r="R52" s="58"/>
      <x:c r="S52" s="58"/>
      <x:c r="T52" s="58"/>
      <x:c r="U52" s="58"/>
      <x:c r="V52" s="58"/>
      <x:c r="W52" s="58"/>
      <x:c r="X52" s="58"/>
      <x:c r="Y52" s="58"/>
      <x:c r="Z52" s="58"/>
    </x:row>
    <x:row r="53">
      <x:c r="A53" s="58"/>
      <x:c r="B53" s="58"/>
      <x:c r="C53" s="58"/>
      <x:c r="D53" s="58"/>
      <x:c r="E53" s="58"/>
      <x:c r="F53" s="58"/>
      <x:c r="G53" s="58"/>
      <x:c r="H53" s="58"/>
      <x:c r="I53" s="58"/>
      <x:c r="J53" s="58"/>
      <x:c r="K53" s="58"/>
      <x:c r="L53" s="58"/>
      <x:c r="M53" s="58"/>
      <x:c r="N53" s="58"/>
      <x:c r="O53" s="58"/>
      <x:c r="P53" s="58"/>
      <x:c r="Q53" s="58"/>
      <x:c r="R53" s="58"/>
      <x:c r="S53" s="58"/>
      <x:c r="T53" s="58"/>
      <x:c r="U53" s="58"/>
      <x:c r="V53" s="58"/>
      <x:c r="W53" s="58"/>
      <x:c r="X53" s="58"/>
      <x:c r="Y53" s="58"/>
      <x:c r="Z53" s="58"/>
    </x:row>
    <x:row r="54">
      <x:c r="A54" s="58"/>
      <x:c r="B54" s="58"/>
      <x:c r="C54" s="58"/>
      <x:c r="D54" s="58"/>
      <x:c r="E54" s="58"/>
      <x:c r="F54" s="58"/>
      <x:c r="G54" s="58"/>
      <x:c r="H54" s="58"/>
      <x:c r="I54" s="58"/>
      <x:c r="J54" s="58"/>
      <x:c r="K54" s="58"/>
      <x:c r="L54" s="58"/>
      <x:c r="M54" s="58"/>
      <x:c r="N54" s="58"/>
      <x:c r="O54" s="58"/>
      <x:c r="P54" s="58"/>
      <x:c r="Q54" s="58"/>
      <x:c r="R54" s="58"/>
      <x:c r="S54" s="58"/>
      <x:c r="T54" s="58"/>
      <x:c r="U54" s="58"/>
      <x:c r="V54" s="58"/>
      <x:c r="W54" s="58"/>
      <x:c r="X54" s="58"/>
      <x:c r="Y54" s="58"/>
      <x:c r="Z54" s="58"/>
    </x:row>
    <x:row r="55">
      <x:c r="A55" s="58"/>
      <x:c r="B55" s="58"/>
      <x:c r="C55" s="58"/>
      <x:c r="D55" s="58"/>
      <x:c r="E55" s="58"/>
      <x:c r="F55" s="58"/>
      <x:c r="G55" s="58"/>
      <x:c r="H55" s="58"/>
      <x:c r="I55" s="58"/>
      <x:c r="J55" s="58"/>
      <x:c r="K55" s="58"/>
      <x:c r="L55" s="58"/>
      <x:c r="M55" s="58"/>
      <x:c r="N55" s="58"/>
      <x:c r="O55" s="58"/>
      <x:c r="P55" s="58"/>
      <x:c r="Q55" s="58"/>
      <x:c r="R55" s="58"/>
      <x:c r="S55" s="58"/>
      <x:c r="T55" s="58"/>
      <x:c r="U55" s="58"/>
      <x:c r="V55" s="58"/>
      <x:c r="W55" s="58"/>
      <x:c r="X55" s="58"/>
      <x:c r="Y55" s="58"/>
      <x:c r="Z55" s="58"/>
    </x:row>
    <x:row r="56">
      <x:c r="A56" s="58"/>
      <x:c r="B56" s="58"/>
      <x:c r="C56" s="58"/>
      <x:c r="D56" s="58"/>
      <x:c r="E56" s="58"/>
      <x:c r="F56" s="58"/>
      <x:c r="G56" s="58"/>
      <x:c r="H56" s="58"/>
      <x:c r="I56" s="58"/>
      <x:c r="J56" s="58"/>
      <x:c r="K56" s="58"/>
      <x:c r="L56" s="58"/>
      <x:c r="M56" s="58"/>
      <x:c r="N56" s="58"/>
      <x:c r="O56" s="58"/>
      <x:c r="P56" s="58"/>
      <x:c r="Q56" s="58"/>
      <x:c r="R56" s="58"/>
      <x:c r="S56" s="58"/>
      <x:c r="T56" s="58"/>
      <x:c r="U56" s="58"/>
      <x:c r="V56" s="58"/>
      <x:c r="W56" s="58"/>
      <x:c r="X56" s="58"/>
      <x:c r="Y56" s="58"/>
      <x:c r="Z56" s="58"/>
    </x:row>
    <x:row r="57">
      <x:c r="A57" s="58"/>
      <x:c r="B57" s="58"/>
      <x:c r="C57" s="58"/>
      <x:c r="D57" s="58"/>
      <x:c r="E57" s="58"/>
      <x:c r="F57" s="58"/>
      <x:c r="G57" s="58"/>
      <x:c r="H57" s="58"/>
      <x:c r="I57" s="58"/>
      <x:c r="J57" s="58"/>
      <x:c r="K57" s="58"/>
      <x:c r="L57" s="58"/>
      <x:c r="M57" s="58"/>
      <x:c r="N57" s="58"/>
      <x:c r="O57" s="58"/>
      <x:c r="P57" s="58"/>
      <x:c r="Q57" s="58"/>
      <x:c r="R57" s="58"/>
      <x:c r="S57" s="58"/>
      <x:c r="T57" s="58"/>
      <x:c r="U57" s="58"/>
      <x:c r="V57" s="58"/>
      <x:c r="W57" s="58"/>
      <x:c r="X57" s="58"/>
      <x:c r="Y57" s="58"/>
      <x:c r="Z57" s="58"/>
    </x:row>
    <x:row r="58">
      <x:c r="A58" s="58"/>
      <x:c r="B58" s="58"/>
      <x:c r="C58" s="58"/>
      <x:c r="D58" s="58"/>
      <x:c r="E58" s="58"/>
      <x:c r="F58" s="58"/>
      <x:c r="G58" s="58"/>
      <x:c r="H58" s="58"/>
      <x:c r="I58" s="58"/>
      <x:c r="J58" s="58"/>
      <x:c r="K58" s="58"/>
      <x:c r="L58" s="58"/>
      <x:c r="M58" s="58"/>
      <x:c r="N58" s="58"/>
      <x:c r="O58" s="58"/>
      <x:c r="P58" s="58"/>
      <x:c r="Q58" s="58"/>
      <x:c r="R58" s="58"/>
      <x:c r="S58" s="58"/>
      <x:c r="T58" s="58"/>
      <x:c r="U58" s="58"/>
      <x:c r="V58" s="58"/>
      <x:c r="W58" s="58"/>
      <x:c r="X58" s="58"/>
      <x:c r="Y58" s="58"/>
      <x:c r="Z58" s="58"/>
    </x:row>
    <x:row r="59">
      <x:c r="A59" s="58"/>
      <x:c r="B59" s="58"/>
      <x:c r="C59" s="58"/>
      <x:c r="D59" s="58"/>
      <x:c r="E59" s="58"/>
      <x:c r="F59" s="58"/>
      <x:c r="G59" s="58"/>
      <x:c r="H59" s="58"/>
      <x:c r="I59" s="58"/>
      <x:c r="J59" s="58"/>
      <x:c r="K59" s="58"/>
      <x:c r="L59" s="58"/>
      <x:c r="M59" s="58"/>
      <x:c r="N59" s="58"/>
      <x:c r="O59" s="58"/>
      <x:c r="P59" s="58"/>
      <x:c r="Q59" s="58"/>
      <x:c r="R59" s="58"/>
      <x:c r="S59" s="58"/>
      <x:c r="T59" s="58"/>
      <x:c r="U59" s="58"/>
      <x:c r="V59" s="58"/>
      <x:c r="W59" s="58"/>
      <x:c r="X59" s="58"/>
      <x:c r="Y59" s="58"/>
      <x:c r="Z59" s="58"/>
    </x:row>
    <x:row r="60">
      <x:c r="A60" s="58"/>
      <x:c r="B60" s="58"/>
      <x:c r="C60" s="58"/>
      <x:c r="D60" s="58"/>
      <x:c r="E60" s="58"/>
      <x:c r="F60" s="58"/>
      <x:c r="G60" s="58"/>
      <x:c r="H60" s="58"/>
      <x:c r="I60" s="58"/>
      <x:c r="J60" s="58"/>
      <x:c r="K60" s="58"/>
      <x:c r="L60" s="58"/>
      <x:c r="M60" s="58"/>
      <x:c r="N60" s="58"/>
      <x:c r="O60" s="58"/>
      <x:c r="P60" s="58"/>
      <x:c r="Q60" s="58"/>
      <x:c r="R60" s="58"/>
      <x:c r="S60" s="58"/>
      <x:c r="T60" s="58"/>
      <x:c r="U60" s="58"/>
      <x:c r="V60" s="58"/>
      <x:c r="W60" s="58"/>
      <x:c r="X60" s="58"/>
      <x:c r="Y60" s="58"/>
      <x:c r="Z60" s="58"/>
    </x:row>
    <x:row r="61">
      <x:c r="A61" s="58"/>
      <x:c r="B61" s="58"/>
      <x:c r="C61" s="58"/>
      <x:c r="D61" s="58"/>
      <x:c r="E61" s="58"/>
      <x:c r="F61" s="58"/>
      <x:c r="G61" s="58"/>
      <x:c r="H61" s="58"/>
      <x:c r="I61" s="58"/>
      <x:c r="J61" s="58"/>
      <x:c r="K61" s="58"/>
      <x:c r="L61" s="58"/>
      <x:c r="M61" s="58"/>
      <x:c r="N61" s="58"/>
      <x:c r="O61" s="58"/>
      <x:c r="P61" s="58"/>
      <x:c r="Q61" s="58"/>
      <x:c r="R61" s="58"/>
      <x:c r="S61" s="58"/>
      <x:c r="T61" s="58"/>
      <x:c r="U61" s="58"/>
      <x:c r="V61" s="58"/>
      <x:c r="W61" s="58"/>
      <x:c r="X61" s="58"/>
      <x:c r="Y61" s="58"/>
      <x:c r="Z61" s="58"/>
    </x:row>
    <x:row r="62">
      <x:c r="A62" s="58"/>
      <x:c r="B62" s="58"/>
      <x:c r="C62" s="58"/>
      <x:c r="D62" s="58"/>
      <x:c r="E62" s="58"/>
      <x:c r="F62" s="58"/>
      <x:c r="G62" s="58"/>
      <x:c r="H62" s="58"/>
      <x:c r="I62" s="58"/>
      <x:c r="J62" s="58"/>
      <x:c r="K62" s="58"/>
      <x:c r="L62" s="58"/>
      <x:c r="M62" s="58"/>
      <x:c r="N62" s="58"/>
      <x:c r="O62" s="58"/>
      <x:c r="P62" s="58"/>
      <x:c r="Q62" s="58"/>
      <x:c r="R62" s="58"/>
      <x:c r="S62" s="58"/>
      <x:c r="T62" s="58"/>
      <x:c r="U62" s="58"/>
      <x:c r="V62" s="58"/>
      <x:c r="W62" s="58"/>
      <x:c r="X62" s="58"/>
      <x:c r="Y62" s="58"/>
      <x:c r="Z62" s="58"/>
    </x:row>
    <x:row r="63">
      <x:c r="A63" s="58"/>
      <x:c r="B63" s="58"/>
      <x:c r="C63" s="58"/>
      <x:c r="D63" s="58"/>
      <x:c r="E63" s="58"/>
      <x:c r="F63" s="58"/>
      <x:c r="G63" s="58"/>
      <x:c r="H63" s="58"/>
      <x:c r="I63" s="58"/>
      <x:c r="J63" s="58"/>
      <x:c r="K63" s="58"/>
      <x:c r="L63" s="58"/>
      <x:c r="M63" s="58"/>
      <x:c r="N63" s="58"/>
      <x:c r="O63" s="58"/>
      <x:c r="P63" s="58"/>
      <x:c r="Q63" s="58"/>
      <x:c r="R63" s="58"/>
      <x:c r="S63" s="58"/>
      <x:c r="T63" s="58"/>
      <x:c r="U63" s="58"/>
      <x:c r="V63" s="58"/>
      <x:c r="W63" s="58"/>
      <x:c r="X63" s="58"/>
      <x:c r="Y63" s="58"/>
      <x:c r="Z63" s="58"/>
    </x:row>
    <x:row r="64">
      <x:c r="A64" s="58"/>
      <x:c r="B64" s="58"/>
      <x:c r="C64" s="58"/>
      <x:c r="D64" s="58"/>
      <x:c r="E64" s="58"/>
      <x:c r="F64" s="58"/>
      <x:c r="G64" s="58"/>
      <x:c r="H64" s="58"/>
      <x:c r="I64" s="58"/>
      <x:c r="J64" s="58"/>
      <x:c r="K64" s="58"/>
      <x:c r="L64" s="58"/>
      <x:c r="M64" s="58"/>
      <x:c r="N64" s="58"/>
      <x:c r="O64" s="58"/>
      <x:c r="P64" s="58"/>
      <x:c r="Q64" s="58"/>
      <x:c r="R64" s="58"/>
      <x:c r="S64" s="58"/>
      <x:c r="T64" s="58"/>
      <x:c r="U64" s="58"/>
      <x:c r="V64" s="58"/>
      <x:c r="W64" s="58"/>
      <x:c r="X64" s="58"/>
      <x:c r="Y64" s="58"/>
      <x:c r="Z64" s="58"/>
    </x:row>
    <x:row r="65">
      <x:c r="A65" s="58"/>
      <x:c r="B65" s="58"/>
      <x:c r="C65" s="58"/>
      <x:c r="D65" s="58"/>
      <x:c r="E65" s="58"/>
      <x:c r="F65" s="58"/>
      <x:c r="G65" s="58"/>
      <x:c r="H65" s="58"/>
      <x:c r="I65" s="58"/>
      <x:c r="J65" s="58"/>
      <x:c r="K65" s="58"/>
      <x:c r="L65" s="58"/>
      <x:c r="M65" s="58"/>
      <x:c r="N65" s="58"/>
      <x:c r="O65" s="58"/>
      <x:c r="P65" s="58"/>
      <x:c r="Q65" s="58"/>
      <x:c r="R65" s="58"/>
      <x:c r="S65" s="58"/>
      <x:c r="T65" s="58"/>
      <x:c r="U65" s="58"/>
      <x:c r="V65" s="58"/>
      <x:c r="W65" s="58"/>
      <x:c r="X65" s="58"/>
      <x:c r="Y65" s="58"/>
      <x:c r="Z65" s="58"/>
    </x:row>
    <x:row r="66">
      <x:c r="A66" s="58"/>
      <x:c r="B66" s="58"/>
      <x:c r="C66" s="58"/>
      <x:c r="D66" s="58"/>
      <x:c r="E66" s="58"/>
      <x:c r="F66" s="58"/>
      <x:c r="G66" s="58"/>
      <x:c r="H66" s="58"/>
      <x:c r="I66" s="58"/>
      <x:c r="J66" s="58"/>
      <x:c r="K66" s="58"/>
      <x:c r="L66" s="58"/>
      <x:c r="M66" s="58"/>
      <x:c r="N66" s="58"/>
      <x:c r="O66" s="58"/>
      <x:c r="P66" s="58"/>
      <x:c r="Q66" s="58"/>
      <x:c r="R66" s="58"/>
      <x:c r="S66" s="58"/>
      <x:c r="T66" s="58"/>
      <x:c r="U66" s="58"/>
      <x:c r="V66" s="58"/>
      <x:c r="W66" s="58"/>
      <x:c r="X66" s="58"/>
      <x:c r="Y66" s="58"/>
      <x:c r="Z66" s="58"/>
    </x:row>
    <x:row r="67">
      <x:c r="A67" s="58"/>
      <x:c r="B67" s="58"/>
      <x:c r="C67" s="58"/>
      <x:c r="D67" s="58"/>
      <x:c r="E67" s="58"/>
      <x:c r="F67" s="58"/>
      <x:c r="G67" s="58"/>
      <x:c r="H67" s="58"/>
      <x:c r="I67" s="58"/>
      <x:c r="J67" s="58"/>
      <x:c r="K67" s="58"/>
      <x:c r="L67" s="58"/>
      <x:c r="M67" s="58"/>
      <x:c r="N67" s="58"/>
      <x:c r="O67" s="58"/>
      <x:c r="P67" s="58"/>
      <x:c r="Q67" s="58"/>
      <x:c r="R67" s="58"/>
      <x:c r="S67" s="58"/>
      <x:c r="T67" s="58"/>
      <x:c r="U67" s="58"/>
      <x:c r="V67" s="58"/>
      <x:c r="W67" s="58"/>
      <x:c r="X67" s="58"/>
      <x:c r="Y67" s="58"/>
      <x:c r="Z67" s="58"/>
    </x:row>
    <x:row r="68">
      <x:c r="A68" s="58"/>
      <x:c r="B68" s="58"/>
      <x:c r="C68" s="58"/>
      <x:c r="D68" s="58"/>
      <x:c r="E68" s="58"/>
      <x:c r="F68" s="58"/>
      <x:c r="G68" s="58"/>
      <x:c r="H68" s="58"/>
      <x:c r="I68" s="58"/>
      <x:c r="J68" s="58"/>
      <x:c r="K68" s="58"/>
      <x:c r="L68" s="58"/>
      <x:c r="M68" s="58"/>
      <x:c r="N68" s="58"/>
      <x:c r="O68" s="58"/>
      <x:c r="P68" s="58"/>
      <x:c r="Q68" s="58"/>
      <x:c r="R68" s="58"/>
      <x:c r="S68" s="58"/>
      <x:c r="T68" s="58"/>
      <x:c r="U68" s="58"/>
      <x:c r="V68" s="58"/>
      <x:c r="W68" s="58"/>
      <x:c r="X68" s="58"/>
      <x:c r="Y68" s="58"/>
      <x:c r="Z68" s="58"/>
    </x:row>
    <x:row r="69">
      <x:c r="A69" s="58"/>
      <x:c r="B69" s="58"/>
      <x:c r="C69" s="58"/>
      <x:c r="D69" s="58"/>
      <x:c r="E69" s="58"/>
      <x:c r="F69" s="58"/>
      <x:c r="G69" s="58"/>
      <x:c r="H69" s="58"/>
      <x:c r="I69" s="58"/>
      <x:c r="J69" s="58"/>
      <x:c r="K69" s="58"/>
      <x:c r="L69" s="58"/>
      <x:c r="M69" s="58"/>
      <x:c r="N69" s="58"/>
      <x:c r="O69" s="58"/>
      <x:c r="P69" s="58"/>
      <x:c r="Q69" s="58"/>
      <x:c r="R69" s="58"/>
      <x:c r="S69" s="58"/>
      <x:c r="T69" s="58"/>
      <x:c r="U69" s="58"/>
      <x:c r="V69" s="58"/>
      <x:c r="W69" s="58"/>
      <x:c r="X69" s="58"/>
      <x:c r="Y69" s="58"/>
      <x:c r="Z69" s="58"/>
    </x:row>
    <x:row r="70">
      <x:c r="A70" s="58"/>
      <x:c r="B70" s="58"/>
      <x:c r="C70" s="58"/>
      <x:c r="D70" s="58"/>
      <x:c r="E70" s="58"/>
      <x:c r="F70" s="58"/>
      <x:c r="G70" s="58"/>
      <x:c r="H70" s="58"/>
      <x:c r="I70" s="58"/>
      <x:c r="J70" s="58"/>
      <x:c r="K70" s="58"/>
      <x:c r="L70" s="58"/>
      <x:c r="M70" s="58"/>
      <x:c r="N70" s="58"/>
      <x:c r="O70" s="58"/>
      <x:c r="P70" s="58"/>
      <x:c r="Q70" s="58"/>
      <x:c r="R70" s="58"/>
      <x:c r="S70" s="58"/>
      <x:c r="T70" s="58"/>
      <x:c r="U70" s="58"/>
      <x:c r="V70" s="58"/>
      <x:c r="W70" s="58"/>
      <x:c r="X70" s="58"/>
      <x:c r="Y70" s="58"/>
      <x:c r="Z70" s="58"/>
    </x:row>
    <x:row r="71">
      <x:c r="A71" s="58"/>
      <x:c r="B71" s="58"/>
      <x:c r="C71" s="58"/>
      <x:c r="D71" s="58"/>
      <x:c r="E71" s="58"/>
      <x:c r="F71" s="58"/>
      <x:c r="G71" s="58"/>
      <x:c r="H71" s="58"/>
      <x:c r="I71" s="58"/>
      <x:c r="J71" s="58"/>
      <x:c r="K71" s="58"/>
      <x:c r="L71" s="58"/>
      <x:c r="M71" s="58"/>
      <x:c r="N71" s="58"/>
      <x:c r="O71" s="58"/>
      <x:c r="P71" s="58"/>
      <x:c r="Q71" s="58"/>
      <x:c r="R71" s="58"/>
      <x:c r="S71" s="58"/>
      <x:c r="T71" s="58"/>
      <x:c r="U71" s="58"/>
      <x:c r="V71" s="58"/>
      <x:c r="W71" s="58"/>
      <x:c r="X71" s="58"/>
      <x:c r="Y71" s="58"/>
      <x:c r="Z71" s="58"/>
    </x:row>
    <x:row r="72">
      <x:c r="A72" s="58"/>
      <x:c r="B72" s="58"/>
      <x:c r="C72" s="58"/>
      <x:c r="D72" s="58"/>
      <x:c r="E72" s="58"/>
      <x:c r="F72" s="58"/>
      <x:c r="G72" s="58"/>
      <x:c r="H72" s="58"/>
      <x:c r="I72" s="58"/>
      <x:c r="J72" s="58"/>
      <x:c r="K72" s="58"/>
      <x:c r="L72" s="58"/>
      <x:c r="M72" s="58"/>
      <x:c r="N72" s="58"/>
      <x:c r="O72" s="58"/>
      <x:c r="P72" s="58"/>
      <x:c r="Q72" s="58"/>
      <x:c r="R72" s="58"/>
      <x:c r="S72" s="58"/>
      <x:c r="T72" s="58"/>
      <x:c r="U72" s="58"/>
      <x:c r="V72" s="58"/>
      <x:c r="W72" s="58"/>
      <x:c r="X72" s="58"/>
      <x:c r="Y72" s="58"/>
      <x:c r="Z72" s="58"/>
    </x:row>
    <x:row r="73">
      <x:c r="A73" s="58"/>
      <x:c r="B73" s="58"/>
      <x:c r="C73" s="58"/>
      <x:c r="D73" s="58"/>
      <x:c r="E73" s="58"/>
      <x:c r="F73" s="58"/>
      <x:c r="G73" s="58"/>
      <x:c r="H73" s="58"/>
      <x:c r="I73" s="58"/>
      <x:c r="J73" s="58"/>
      <x:c r="K73" s="58"/>
      <x:c r="L73" s="58"/>
      <x:c r="M73" s="58"/>
      <x:c r="N73" s="58"/>
      <x:c r="O73" s="58"/>
      <x:c r="P73" s="58"/>
      <x:c r="Q73" s="58"/>
      <x:c r="R73" s="58"/>
      <x:c r="S73" s="58"/>
      <x:c r="T73" s="58"/>
      <x:c r="U73" s="58"/>
      <x:c r="V73" s="58"/>
      <x:c r="W73" s="58"/>
      <x:c r="X73" s="58"/>
      <x:c r="Y73" s="58"/>
      <x:c r="Z73" s="58"/>
    </x:row>
    <x:row r="74">
      <x:c r="A74" s="58"/>
      <x:c r="B74" s="58"/>
      <x:c r="C74" s="58"/>
      <x:c r="D74" s="58"/>
      <x:c r="E74" s="58"/>
      <x:c r="F74" s="58"/>
      <x:c r="G74" s="58"/>
      <x:c r="H74" s="58"/>
      <x:c r="I74" s="58"/>
      <x:c r="J74" s="58"/>
      <x:c r="K74" s="58"/>
      <x:c r="L74" s="58"/>
      <x:c r="M74" s="58"/>
      <x:c r="N74" s="58"/>
      <x:c r="O74" s="58"/>
      <x:c r="P74" s="58"/>
      <x:c r="Q74" s="58"/>
      <x:c r="R74" s="58"/>
      <x:c r="S74" s="58"/>
      <x:c r="T74" s="58"/>
      <x:c r="U74" s="58"/>
      <x:c r="V74" s="58"/>
      <x:c r="W74" s="58"/>
      <x:c r="X74" s="58"/>
      <x:c r="Y74" s="58"/>
      <x:c r="Z74" s="58"/>
    </x:row>
    <x:row r="75">
      <x:c r="A75" s="58"/>
      <x:c r="B75" s="58"/>
      <x:c r="C75" s="58"/>
      <x:c r="D75" s="58"/>
      <x:c r="E75" s="58"/>
      <x:c r="F75" s="58"/>
      <x:c r="G75" s="58"/>
      <x:c r="H75" s="58"/>
      <x:c r="I75" s="58"/>
      <x:c r="J75" s="58"/>
      <x:c r="K75" s="58"/>
      <x:c r="L75" s="58"/>
      <x:c r="M75" s="58"/>
      <x:c r="N75" s="58"/>
      <x:c r="O75" s="58"/>
      <x:c r="P75" s="58"/>
      <x:c r="Q75" s="58"/>
      <x:c r="R75" s="58"/>
      <x:c r="S75" s="58"/>
      <x:c r="T75" s="58"/>
      <x:c r="U75" s="58"/>
      <x:c r="V75" s="58"/>
      <x:c r="W75" s="58"/>
      <x:c r="X75" s="58"/>
      <x:c r="Y75" s="58"/>
      <x:c r="Z75" s="58"/>
    </x:row>
    <x:row r="76">
      <x:c r="A76" s="58"/>
      <x:c r="B76" s="58"/>
      <x:c r="C76" s="58"/>
      <x:c r="D76" s="58"/>
      <x:c r="E76" s="58"/>
      <x:c r="F76" s="58"/>
      <x:c r="G76" s="58"/>
      <x:c r="H76" s="58"/>
      <x:c r="I76" s="58"/>
      <x:c r="J76" s="58"/>
      <x:c r="K76" s="58"/>
      <x:c r="L76" s="58"/>
      <x:c r="M76" s="58"/>
      <x:c r="N76" s="58"/>
      <x:c r="O76" s="58"/>
      <x:c r="P76" s="58"/>
      <x:c r="Q76" s="58"/>
      <x:c r="R76" s="58"/>
      <x:c r="S76" s="58"/>
      <x:c r="T76" s="58"/>
      <x:c r="U76" s="58"/>
      <x:c r="V76" s="58"/>
      <x:c r="W76" s="58"/>
      <x:c r="X76" s="58"/>
      <x:c r="Y76" s="58"/>
      <x:c r="Z76" s="58"/>
    </x:row>
    <x:row r="77">
      <x:c r="A77" s="58"/>
      <x:c r="B77" s="58"/>
      <x:c r="C77" s="58"/>
      <x:c r="D77" s="58"/>
      <x:c r="E77" s="58"/>
      <x:c r="F77" s="58"/>
      <x:c r="G77" s="58"/>
      <x:c r="H77" s="58"/>
      <x:c r="I77" s="58"/>
      <x:c r="J77" s="58"/>
      <x:c r="K77" s="58"/>
      <x:c r="L77" s="58"/>
      <x:c r="M77" s="58"/>
      <x:c r="N77" s="58"/>
      <x:c r="O77" s="58"/>
      <x:c r="P77" s="58"/>
      <x:c r="Q77" s="58"/>
      <x:c r="R77" s="58"/>
      <x:c r="S77" s="58"/>
      <x:c r="T77" s="58"/>
      <x:c r="U77" s="58"/>
      <x:c r="V77" s="58"/>
      <x:c r="W77" s="58"/>
      <x:c r="X77" s="58"/>
      <x:c r="Y77" s="58"/>
      <x:c r="Z77" s="58"/>
    </x:row>
    <x:row r="78">
      <x:c r="A78" s="58"/>
      <x:c r="B78" s="58"/>
      <x:c r="C78" s="58"/>
      <x:c r="D78" s="58"/>
      <x:c r="E78" s="58"/>
      <x:c r="F78" s="58"/>
      <x:c r="G78" s="58"/>
      <x:c r="H78" s="58"/>
      <x:c r="I78" s="58"/>
      <x:c r="J78" s="58"/>
      <x:c r="K78" s="58"/>
      <x:c r="L78" s="58"/>
      <x:c r="M78" s="58"/>
      <x:c r="N78" s="58"/>
      <x:c r="O78" s="58"/>
      <x:c r="P78" s="58"/>
      <x:c r="Q78" s="58"/>
      <x:c r="R78" s="58"/>
      <x:c r="S78" s="58"/>
      <x:c r="T78" s="58"/>
      <x:c r="U78" s="58"/>
      <x:c r="V78" s="58"/>
      <x:c r="W78" s="58"/>
      <x:c r="X78" s="58"/>
      <x:c r="Y78" s="58"/>
      <x:c r="Z78" s="58"/>
    </x:row>
    <x:row r="79">
      <x:c r="A79" s="58"/>
      <x:c r="B79" s="58"/>
      <x:c r="C79" s="58"/>
      <x:c r="D79" s="58"/>
      <x:c r="E79" s="58"/>
      <x:c r="F79" s="58"/>
      <x:c r="G79" s="58"/>
      <x:c r="H79" s="58"/>
      <x:c r="I79" s="58"/>
      <x:c r="J79" s="58"/>
      <x:c r="K79" s="58"/>
      <x:c r="L79" s="58"/>
      <x:c r="M79" s="58"/>
      <x:c r="N79" s="58"/>
      <x:c r="O79" s="58"/>
      <x:c r="P79" s="58"/>
      <x:c r="Q79" s="58"/>
      <x:c r="R79" s="58"/>
      <x:c r="S79" s="58"/>
      <x:c r="T79" s="58"/>
      <x:c r="U79" s="58"/>
      <x:c r="V79" s="58"/>
      <x:c r="W79" s="58"/>
      <x:c r="X79" s="58"/>
      <x:c r="Y79" s="58"/>
      <x:c r="Z79" s="58"/>
    </x:row>
    <x:row r="80">
      <x:c r="A80" s="58"/>
      <x:c r="B80" s="58"/>
      <x:c r="C80" s="58"/>
      <x:c r="D80" s="58"/>
      <x:c r="E80" s="58"/>
      <x:c r="F80" s="58"/>
      <x:c r="G80" s="58"/>
      <x:c r="H80" s="58"/>
      <x:c r="I80" s="58"/>
      <x:c r="J80" s="58"/>
      <x:c r="K80" s="58"/>
      <x:c r="L80" s="58"/>
      <x:c r="M80" s="58"/>
      <x:c r="N80" s="58"/>
      <x:c r="O80" s="58"/>
      <x:c r="P80" s="58"/>
      <x:c r="Q80" s="58"/>
      <x:c r="R80" s="58"/>
      <x:c r="S80" s="58"/>
      <x:c r="T80" s="58"/>
      <x:c r="U80" s="58"/>
      <x:c r="V80" s="58"/>
      <x:c r="W80" s="58"/>
      <x:c r="X80" s="58"/>
      <x:c r="Y80" s="58"/>
      <x:c r="Z80" s="58"/>
    </x:row>
    <x:row r="81">
      <x:c r="A81" s="58"/>
      <x:c r="B81" s="58"/>
      <x:c r="C81" s="58"/>
      <x:c r="D81" s="58"/>
      <x:c r="E81" s="58"/>
      <x:c r="F81" s="58"/>
      <x:c r="G81" s="58"/>
      <x:c r="H81" s="58"/>
      <x:c r="I81" s="58"/>
      <x:c r="J81" s="58"/>
      <x:c r="K81" s="58"/>
      <x:c r="L81" s="58"/>
      <x:c r="M81" s="58"/>
      <x:c r="N81" s="58"/>
      <x:c r="O81" s="58"/>
      <x:c r="P81" s="58"/>
      <x:c r="Q81" s="58"/>
      <x:c r="R81" s="58"/>
      <x:c r="S81" s="58"/>
      <x:c r="T81" s="58"/>
      <x:c r="U81" s="58"/>
      <x:c r="V81" s="58"/>
      <x:c r="W81" s="58"/>
      <x:c r="X81" s="58"/>
      <x:c r="Y81" s="58"/>
      <x:c r="Z81" s="58"/>
    </x:row>
    <x:row r="82">
      <x:c r="A82" s="58"/>
      <x:c r="B82" s="58"/>
      <x:c r="C82" s="58"/>
      <x:c r="D82" s="58"/>
      <x:c r="E82" s="58"/>
      <x:c r="F82" s="58"/>
      <x:c r="G82" s="58"/>
      <x:c r="H82" s="58"/>
      <x:c r="I82" s="58"/>
      <x:c r="J82" s="58"/>
      <x:c r="K82" s="58"/>
      <x:c r="L82" s="58"/>
      <x:c r="M82" s="58"/>
      <x:c r="N82" s="58"/>
      <x:c r="O82" s="58"/>
      <x:c r="P82" s="58"/>
      <x:c r="Q82" s="58"/>
      <x:c r="R82" s="58"/>
      <x:c r="S82" s="58"/>
      <x:c r="T82" s="58"/>
      <x:c r="U82" s="58"/>
      <x:c r="V82" s="58"/>
      <x:c r="W82" s="58"/>
      <x:c r="X82" s="58"/>
      <x:c r="Y82" s="58"/>
      <x:c r="Z82" s="58"/>
    </x:row>
    <x:row r="83">
      <x:c r="A83" s="58"/>
      <x:c r="B83" s="58"/>
      <x:c r="C83" s="58"/>
      <x:c r="D83" s="58"/>
      <x:c r="E83" s="58"/>
      <x:c r="F83" s="58"/>
      <x:c r="G83" s="58"/>
      <x:c r="H83" s="58"/>
      <x:c r="I83" s="58"/>
      <x:c r="J83" s="58"/>
      <x:c r="K83" s="58"/>
      <x:c r="L83" s="58"/>
      <x:c r="M83" s="58"/>
      <x:c r="N83" s="58"/>
      <x:c r="O83" s="58"/>
      <x:c r="P83" s="58"/>
      <x:c r="Q83" s="58"/>
      <x:c r="R83" s="58"/>
      <x:c r="S83" s="58"/>
      <x:c r="T83" s="58"/>
      <x:c r="U83" s="58"/>
      <x:c r="V83" s="58"/>
      <x:c r="W83" s="58"/>
      <x:c r="X83" s="58"/>
      <x:c r="Y83" s="58"/>
      <x:c r="Z83" s="58"/>
    </x:row>
    <x:row r="84">
      <x:c r="A84" s="58"/>
      <x:c r="B84" s="58"/>
      <x:c r="C84" s="58"/>
      <x:c r="D84" s="58"/>
      <x:c r="E84" s="58"/>
      <x:c r="F84" s="58"/>
      <x:c r="G84" s="58"/>
      <x:c r="H84" s="58"/>
      <x:c r="I84" s="58"/>
      <x:c r="J84" s="58"/>
      <x:c r="K84" s="58"/>
      <x:c r="L84" s="58"/>
      <x:c r="M84" s="58"/>
      <x:c r="N84" s="58"/>
      <x:c r="O84" s="58"/>
      <x:c r="P84" s="58"/>
      <x:c r="Q84" s="58"/>
      <x:c r="R84" s="58"/>
      <x:c r="S84" s="58"/>
      <x:c r="T84" s="58"/>
      <x:c r="U84" s="58"/>
      <x:c r="V84" s="58"/>
      <x:c r="W84" s="58"/>
      <x:c r="X84" s="58"/>
      <x:c r="Y84" s="58"/>
      <x:c r="Z84" s="58"/>
    </x:row>
    <x:row r="85">
      <x:c r="A85" s="58"/>
      <x:c r="B85" s="58"/>
      <x:c r="C85" s="58"/>
      <x:c r="D85" s="58"/>
      <x:c r="E85" s="58"/>
      <x:c r="F85" s="58"/>
      <x:c r="G85" s="58"/>
      <x:c r="H85" s="58"/>
      <x:c r="I85" s="58"/>
      <x:c r="J85" s="58"/>
      <x:c r="K85" s="58"/>
      <x:c r="L85" s="58"/>
      <x:c r="M85" s="58"/>
      <x:c r="N85" s="58"/>
      <x:c r="O85" s="58"/>
      <x:c r="P85" s="58"/>
      <x:c r="Q85" s="58"/>
      <x:c r="R85" s="58"/>
      <x:c r="S85" s="58"/>
      <x:c r="T85" s="58"/>
      <x:c r="U85" s="58"/>
      <x:c r="V85" s="58"/>
      <x:c r="W85" s="58"/>
      <x:c r="X85" s="58"/>
      <x:c r="Y85" s="58"/>
      <x:c r="Z85" s="58"/>
    </x:row>
    <x:row r="86">
      <x:c r="A86" s="58"/>
      <x:c r="B86" s="58"/>
      <x:c r="C86" s="58"/>
      <x:c r="D86" s="58"/>
      <x:c r="E86" s="58"/>
      <x:c r="F86" s="58"/>
      <x:c r="G86" s="58"/>
      <x:c r="H86" s="58"/>
      <x:c r="I86" s="58"/>
      <x:c r="J86" s="58"/>
      <x:c r="K86" s="58"/>
      <x:c r="L86" s="58"/>
      <x:c r="M86" s="58"/>
      <x:c r="N86" s="58"/>
      <x:c r="O86" s="58"/>
      <x:c r="P86" s="58"/>
      <x:c r="Q86" s="58"/>
      <x:c r="R86" s="58"/>
      <x:c r="S86" s="58"/>
      <x:c r="T86" s="58"/>
      <x:c r="U86" s="58"/>
      <x:c r="V86" s="58"/>
      <x:c r="W86" s="58"/>
      <x:c r="X86" s="58"/>
      <x:c r="Y86" s="58"/>
      <x:c r="Z86" s="58"/>
    </x:row>
    <x:row r="87">
      <x:c r="A87" s="58"/>
      <x:c r="B87" s="58"/>
      <x:c r="C87" s="58"/>
      <x:c r="D87" s="58"/>
      <x:c r="E87" s="58"/>
      <x:c r="F87" s="58"/>
      <x:c r="G87" s="58"/>
      <x:c r="H87" s="58"/>
      <x:c r="I87" s="58"/>
      <x:c r="J87" s="58"/>
      <x:c r="K87" s="58"/>
      <x:c r="L87" s="58"/>
      <x:c r="M87" s="58"/>
      <x:c r="N87" s="58"/>
      <x:c r="O87" s="58"/>
      <x:c r="P87" s="58"/>
      <x:c r="Q87" s="58"/>
      <x:c r="R87" s="58"/>
      <x:c r="S87" s="58"/>
      <x:c r="T87" s="58"/>
      <x:c r="U87" s="58"/>
      <x:c r="V87" s="58"/>
      <x:c r="W87" s="58"/>
      <x:c r="X87" s="58"/>
      <x:c r="Y87" s="58"/>
      <x:c r="Z87" s="58"/>
    </x:row>
    <x:row r="88">
      <x:c r="A88" s="58"/>
      <x:c r="B88" s="58"/>
      <x:c r="C88" s="58"/>
      <x:c r="D88" s="58"/>
      <x:c r="E88" s="58"/>
      <x:c r="F88" s="58"/>
      <x:c r="G88" s="58"/>
      <x:c r="H88" s="58"/>
      <x:c r="I88" s="58"/>
      <x:c r="J88" s="58"/>
      <x:c r="K88" s="58"/>
      <x:c r="L88" s="58"/>
      <x:c r="M88" s="58"/>
      <x:c r="N88" s="58"/>
      <x:c r="O88" s="58"/>
      <x:c r="P88" s="58"/>
      <x:c r="Q88" s="58"/>
      <x:c r="R88" s="58"/>
      <x:c r="S88" s="58"/>
      <x:c r="T88" s="58"/>
      <x:c r="U88" s="58"/>
      <x:c r="V88" s="58"/>
      <x:c r="W88" s="58"/>
      <x:c r="X88" s="58"/>
      <x:c r="Y88" s="58"/>
      <x:c r="Z88" s="58"/>
    </x:row>
    <x:row r="89">
      <x:c r="A89" s="58"/>
      <x:c r="B89" s="58"/>
      <x:c r="C89" s="58"/>
      <x:c r="D89" s="58"/>
      <x:c r="E89" s="58"/>
      <x:c r="F89" s="58"/>
      <x:c r="G89" s="58"/>
      <x:c r="H89" s="58"/>
      <x:c r="I89" s="58"/>
      <x:c r="J89" s="58"/>
      <x:c r="K89" s="58"/>
      <x:c r="L89" s="58"/>
      <x:c r="M89" s="58"/>
      <x:c r="N89" s="58"/>
      <x:c r="O89" s="58"/>
      <x:c r="P89" s="58"/>
      <x:c r="Q89" s="58"/>
      <x:c r="R89" s="58"/>
      <x:c r="S89" s="58"/>
      <x:c r="T89" s="58"/>
      <x:c r="U89" s="58"/>
      <x:c r="V89" s="58"/>
      <x:c r="W89" s="58"/>
      <x:c r="X89" s="58"/>
      <x:c r="Y89" s="58"/>
      <x:c r="Z89" s="58"/>
    </x:row>
    <x:row r="90">
      <x:c r="A90" s="58"/>
      <x:c r="B90" s="58"/>
      <x:c r="C90" s="58"/>
      <x:c r="D90" s="58"/>
      <x:c r="E90" s="58"/>
      <x:c r="F90" s="58"/>
      <x:c r="G90" s="58"/>
      <x:c r="H90" s="58"/>
      <x:c r="I90" s="58"/>
      <x:c r="J90" s="58"/>
      <x:c r="K90" s="58"/>
      <x:c r="L90" s="58"/>
      <x:c r="M90" s="58"/>
      <x:c r="N90" s="58"/>
      <x:c r="O90" s="58"/>
      <x:c r="P90" s="58"/>
      <x:c r="Q90" s="58"/>
      <x:c r="R90" s="58"/>
      <x:c r="S90" s="58"/>
      <x:c r="T90" s="58"/>
      <x:c r="U90" s="58"/>
      <x:c r="V90" s="58"/>
      <x:c r="W90" s="58"/>
      <x:c r="X90" s="58"/>
      <x:c r="Y90" s="58"/>
      <x:c r="Z90" s="58"/>
    </x:row>
    <x:row r="91">
      <x:c r="A91" s="58"/>
      <x:c r="B91" s="58"/>
      <x:c r="C91" s="58"/>
      <x:c r="D91" s="58"/>
      <x:c r="E91" s="58"/>
      <x:c r="F91" s="58"/>
      <x:c r="G91" s="58"/>
      <x:c r="H91" s="58"/>
      <x:c r="I91" s="58"/>
      <x:c r="J91" s="58"/>
      <x:c r="K91" s="58"/>
      <x:c r="L91" s="58"/>
      <x:c r="M91" s="58"/>
      <x:c r="N91" s="58"/>
      <x:c r="O91" s="58"/>
      <x:c r="P91" s="58"/>
      <x:c r="Q91" s="58"/>
      <x:c r="R91" s="58"/>
      <x:c r="S91" s="58"/>
      <x:c r="T91" s="58"/>
      <x:c r="U91" s="58"/>
      <x:c r="V91" s="58"/>
      <x:c r="W91" s="58"/>
      <x:c r="X91" s="58"/>
      <x:c r="Y91" s="58"/>
      <x:c r="Z91" s="58"/>
    </x:row>
    <x:row r="92">
      <x:c r="A92" s="58"/>
      <x:c r="B92" s="58"/>
      <x:c r="C92" s="58"/>
      <x:c r="D92" s="58"/>
      <x:c r="E92" s="58"/>
      <x:c r="F92" s="58"/>
      <x:c r="G92" s="58"/>
      <x:c r="H92" s="58"/>
      <x:c r="I92" s="58"/>
      <x:c r="J92" s="58"/>
      <x:c r="K92" s="58"/>
      <x:c r="L92" s="58"/>
      <x:c r="M92" s="58"/>
      <x:c r="N92" s="58"/>
      <x:c r="O92" s="58"/>
      <x:c r="P92" s="58"/>
      <x:c r="Q92" s="58"/>
      <x:c r="R92" s="58"/>
      <x:c r="S92" s="58"/>
      <x:c r="T92" s="58"/>
      <x:c r="U92" s="58"/>
      <x:c r="V92" s="58"/>
      <x:c r="W92" s="58"/>
      <x:c r="X92" s="58"/>
      <x:c r="Y92" s="58"/>
      <x:c r="Z92" s="58"/>
    </x:row>
    <x:row r="93">
      <x:c r="A93" s="58"/>
      <x:c r="B93" s="58"/>
      <x:c r="C93" s="58"/>
      <x:c r="D93" s="58"/>
      <x:c r="E93" s="58"/>
      <x:c r="F93" s="58"/>
      <x:c r="G93" s="58"/>
      <x:c r="H93" s="58"/>
      <x:c r="I93" s="58"/>
      <x:c r="J93" s="58"/>
      <x:c r="K93" s="58"/>
      <x:c r="L93" s="58"/>
      <x:c r="M93" s="58"/>
      <x:c r="N93" s="58"/>
      <x:c r="O93" s="58"/>
      <x:c r="P93" s="58"/>
      <x:c r="Q93" s="58"/>
      <x:c r="R93" s="58"/>
      <x:c r="S93" s="58"/>
      <x:c r="T93" s="58"/>
      <x:c r="U93" s="58"/>
      <x:c r="V93" s="58"/>
      <x:c r="W93" s="58"/>
      <x:c r="X93" s="58"/>
      <x:c r="Y93" s="58"/>
      <x:c r="Z93" s="58"/>
    </x:row>
    <x:row r="94">
      <x:c r="A94" s="58"/>
      <x:c r="B94" s="58"/>
      <x:c r="C94" s="58"/>
      <x:c r="D94" s="58"/>
      <x:c r="E94" s="58"/>
      <x:c r="F94" s="58"/>
      <x:c r="G94" s="58"/>
      <x:c r="H94" s="58"/>
      <x:c r="I94" s="58"/>
      <x:c r="J94" s="58"/>
      <x:c r="K94" s="58"/>
      <x:c r="L94" s="58"/>
      <x:c r="M94" s="58"/>
      <x:c r="N94" s="58"/>
      <x:c r="O94" s="58"/>
      <x:c r="P94" s="58"/>
      <x:c r="Q94" s="58"/>
      <x:c r="R94" s="58"/>
      <x:c r="S94" s="58"/>
      <x:c r="T94" s="58"/>
      <x:c r="U94" s="58"/>
      <x:c r="V94" s="58"/>
      <x:c r="W94" s="58"/>
      <x:c r="X94" s="58"/>
      <x:c r="Y94" s="58"/>
      <x:c r="Z94" s="58"/>
    </x:row>
    <x:row r="95">
      <x:c r="A95" s="58"/>
      <x:c r="B95" s="58"/>
      <x:c r="C95" s="58"/>
      <x:c r="D95" s="58"/>
      <x:c r="E95" s="58"/>
      <x:c r="F95" s="58"/>
      <x:c r="G95" s="58"/>
      <x:c r="H95" s="58"/>
      <x:c r="I95" s="58"/>
      <x:c r="J95" s="58"/>
      <x:c r="K95" s="58"/>
      <x:c r="L95" s="58"/>
      <x:c r="M95" s="58"/>
      <x:c r="N95" s="58"/>
      <x:c r="O95" s="58"/>
      <x:c r="P95" s="58"/>
      <x:c r="Q95" s="58"/>
      <x:c r="R95" s="58"/>
      <x:c r="S95" s="58"/>
      <x:c r="T95" s="58"/>
      <x:c r="U95" s="58"/>
      <x:c r="V95" s="58"/>
      <x:c r="W95" s="58"/>
      <x:c r="X95" s="58"/>
      <x:c r="Y95" s="58"/>
      <x:c r="Z95" s="58"/>
    </x:row>
    <x:row r="96">
      <x:c r="A96" s="58"/>
      <x:c r="B96" s="58"/>
      <x:c r="C96" s="58"/>
      <x:c r="D96" s="58"/>
      <x:c r="E96" s="58"/>
      <x:c r="F96" s="58"/>
      <x:c r="G96" s="58"/>
      <x:c r="H96" s="58"/>
      <x:c r="I96" s="58"/>
      <x:c r="J96" s="58"/>
      <x:c r="K96" s="58"/>
      <x:c r="L96" s="58"/>
      <x:c r="M96" s="58"/>
      <x:c r="N96" s="58"/>
      <x:c r="O96" s="58"/>
      <x:c r="P96" s="58"/>
      <x:c r="Q96" s="58"/>
      <x:c r="R96" s="58"/>
      <x:c r="S96" s="58"/>
      <x:c r="T96" s="58"/>
      <x:c r="U96" s="58"/>
      <x:c r="V96" s="58"/>
      <x:c r="W96" s="58"/>
      <x:c r="X96" s="58"/>
      <x:c r="Y96" s="58"/>
      <x:c r="Z96" s="58"/>
    </x:row>
    <x:row r="97">
      <x:c r="A97" s="58"/>
      <x:c r="B97" s="58"/>
      <x:c r="C97" s="58"/>
      <x:c r="D97" s="58"/>
      <x:c r="E97" s="58"/>
      <x:c r="F97" s="58"/>
      <x:c r="G97" s="58"/>
      <x:c r="H97" s="58"/>
      <x:c r="I97" s="58"/>
      <x:c r="J97" s="58"/>
      <x:c r="K97" s="58"/>
      <x:c r="L97" s="58"/>
      <x:c r="M97" s="58"/>
      <x:c r="N97" s="58"/>
      <x:c r="O97" s="58"/>
      <x:c r="P97" s="58"/>
      <x:c r="Q97" s="58"/>
      <x:c r="R97" s="58"/>
      <x:c r="S97" s="58"/>
      <x:c r="T97" s="58"/>
      <x:c r="U97" s="58"/>
      <x:c r="V97" s="58"/>
      <x:c r="W97" s="58"/>
      <x:c r="X97" s="58"/>
      <x:c r="Y97" s="58"/>
      <x:c r="Z97" s="58"/>
    </x:row>
    <x:row r="98">
      <x:c r="A98" s="58"/>
      <x:c r="B98" s="58"/>
      <x:c r="C98" s="58"/>
      <x:c r="D98" s="58"/>
      <x:c r="E98" s="58"/>
      <x:c r="F98" s="58"/>
      <x:c r="G98" s="58"/>
      <x:c r="H98" s="58"/>
      <x:c r="I98" s="58"/>
      <x:c r="J98" s="58"/>
      <x:c r="K98" s="58"/>
      <x:c r="L98" s="58"/>
      <x:c r="M98" s="58"/>
      <x:c r="N98" s="58"/>
      <x:c r="O98" s="58"/>
      <x:c r="P98" s="58"/>
      <x:c r="Q98" s="58"/>
      <x:c r="R98" s="58"/>
      <x:c r="S98" s="58"/>
      <x:c r="T98" s="58"/>
      <x:c r="U98" s="58"/>
      <x:c r="V98" s="58"/>
      <x:c r="W98" s="58"/>
      <x:c r="X98" s="58"/>
      <x:c r="Y98" s="58"/>
      <x:c r="Z98" s="58"/>
    </x:row>
    <x:row r="99">
      <x:c r="A99" s="58"/>
      <x:c r="B99" s="58"/>
      <x:c r="C99" s="58"/>
      <x:c r="D99" s="58"/>
      <x:c r="E99" s="58"/>
      <x:c r="F99" s="58"/>
      <x:c r="G99" s="58"/>
      <x:c r="H99" s="58"/>
      <x:c r="I99" s="58"/>
      <x:c r="J99" s="58"/>
      <x:c r="K99" s="58"/>
      <x:c r="L99" s="58"/>
      <x:c r="M99" s="58"/>
      <x:c r="N99" s="58"/>
      <x:c r="O99" s="58"/>
      <x:c r="P99" s="58"/>
      <x:c r="Q99" s="58"/>
      <x:c r="R99" s="58"/>
      <x:c r="S99" s="58"/>
      <x:c r="T99" s="58"/>
      <x:c r="U99" s="58"/>
      <x:c r="V99" s="58"/>
      <x:c r="W99" s="58"/>
      <x:c r="X99" s="58"/>
      <x:c r="Y99" s="58"/>
      <x:c r="Z99" s="58"/>
    </x:row>
    <x:row r="100">
      <x:c r="A100" s="58"/>
      <x:c r="B100" s="58"/>
      <x:c r="C100" s="58"/>
      <x:c r="D100" s="58"/>
      <x:c r="E100" s="58"/>
      <x:c r="F100" s="58"/>
      <x:c r="G100" s="58"/>
      <x:c r="H100" s="58"/>
      <x:c r="I100" s="58"/>
      <x:c r="J100" s="58"/>
      <x:c r="K100" s="58"/>
      <x:c r="L100" s="58"/>
      <x:c r="M100" s="58"/>
      <x:c r="N100" s="58"/>
      <x:c r="O100" s="58"/>
      <x:c r="P100" s="58"/>
      <x:c r="Q100" s="58"/>
      <x:c r="R100" s="58"/>
      <x:c r="S100" s="58"/>
      <x:c r="T100" s="58"/>
      <x:c r="U100" s="58"/>
      <x:c r="V100" s="58"/>
      <x:c r="W100" s="58"/>
      <x:c r="X100" s="58"/>
      <x:c r="Y100" s="58"/>
      <x:c r="Z100" s="58"/>
    </x:row>
    <x:row r="101">
      <x:c r="A101" s="58"/>
      <x:c r="B101" s="58"/>
      <x:c r="C101" s="58"/>
      <x:c r="D101" s="58"/>
      <x:c r="E101" s="58"/>
      <x:c r="F101" s="58"/>
      <x:c r="G101" s="58"/>
      <x:c r="H101" s="58"/>
      <x:c r="I101" s="58"/>
      <x:c r="J101" s="58"/>
      <x:c r="K101" s="58"/>
      <x:c r="L101" s="58"/>
      <x:c r="M101" s="58"/>
      <x:c r="N101" s="58"/>
      <x:c r="O101" s="58"/>
      <x:c r="P101" s="58"/>
      <x:c r="Q101" s="58"/>
      <x:c r="R101" s="58"/>
      <x:c r="S101" s="58"/>
      <x:c r="T101" s="58"/>
      <x:c r="U101" s="58"/>
      <x:c r="V101" s="58"/>
      <x:c r="W101" s="58"/>
      <x:c r="X101" s="58"/>
      <x:c r="Y101" s="58"/>
      <x:c r="Z101" s="58"/>
    </x:row>
    <x:row r="102">
      <x:c r="A102" s="58"/>
      <x:c r="B102" s="58"/>
      <x:c r="C102" s="58"/>
      <x:c r="D102" s="58"/>
      <x:c r="E102" s="58"/>
      <x:c r="F102" s="58"/>
      <x:c r="G102" s="58"/>
      <x:c r="H102" s="58"/>
      <x:c r="I102" s="58"/>
      <x:c r="J102" s="58"/>
      <x:c r="K102" s="58"/>
      <x:c r="L102" s="58"/>
      <x:c r="M102" s="58"/>
      <x:c r="N102" s="58"/>
      <x:c r="O102" s="58"/>
      <x:c r="P102" s="58"/>
      <x:c r="Q102" s="58"/>
      <x:c r="R102" s="58"/>
      <x:c r="S102" s="58"/>
      <x:c r="T102" s="58"/>
      <x:c r="U102" s="58"/>
      <x:c r="V102" s="58"/>
      <x:c r="W102" s="58"/>
      <x:c r="X102" s="58"/>
      <x:c r="Y102" s="58"/>
      <x:c r="Z102" s="58"/>
    </x:row>
    <x:row r="103">
      <x:c r="A103" s="58"/>
      <x:c r="B103" s="58"/>
      <x:c r="C103" s="58"/>
      <x:c r="D103" s="58"/>
      <x:c r="E103" s="58"/>
      <x:c r="F103" s="58"/>
      <x:c r="G103" s="58"/>
      <x:c r="H103" s="58"/>
      <x:c r="I103" s="58"/>
      <x:c r="J103" s="58"/>
      <x:c r="K103" s="58"/>
      <x:c r="L103" s="58"/>
      <x:c r="M103" s="58"/>
      <x:c r="N103" s="58"/>
      <x:c r="O103" s="58"/>
      <x:c r="P103" s="58"/>
      <x:c r="Q103" s="58"/>
      <x:c r="R103" s="58"/>
      <x:c r="S103" s="58"/>
      <x:c r="T103" s="58"/>
      <x:c r="U103" s="58"/>
      <x:c r="V103" s="58"/>
      <x:c r="W103" s="58"/>
      <x:c r="X103" s="58"/>
      <x:c r="Y103" s="58"/>
      <x:c r="Z103" s="58"/>
    </x:row>
    <x:row r="104">
      <x:c r="A104" s="58"/>
      <x:c r="B104" s="58"/>
      <x:c r="C104" s="58"/>
      <x:c r="D104" s="58"/>
      <x:c r="E104" s="58"/>
      <x:c r="F104" s="58"/>
      <x:c r="G104" s="58"/>
      <x:c r="H104" s="58"/>
      <x:c r="I104" s="58"/>
      <x:c r="J104" s="58"/>
      <x:c r="K104" s="58"/>
      <x:c r="L104" s="58"/>
      <x:c r="M104" s="58"/>
      <x:c r="N104" s="58"/>
      <x:c r="O104" s="58"/>
      <x:c r="P104" s="58"/>
      <x:c r="Q104" s="58"/>
      <x:c r="R104" s="58"/>
      <x:c r="S104" s="58"/>
      <x:c r="T104" s="58"/>
      <x:c r="U104" s="58"/>
      <x:c r="V104" s="58"/>
      <x:c r="W104" s="58"/>
      <x:c r="X104" s="58"/>
      <x:c r="Y104" s="58"/>
      <x:c r="Z104" s="58"/>
    </x:row>
    <x:row r="105">
      <x:c r="A105" s="58"/>
      <x:c r="B105" s="58"/>
      <x:c r="C105" s="58"/>
      <x:c r="D105" s="58"/>
      <x:c r="E105" s="58"/>
      <x:c r="F105" s="58"/>
      <x:c r="G105" s="58"/>
      <x:c r="H105" s="58"/>
      <x:c r="I105" s="58"/>
      <x:c r="J105" s="58"/>
      <x:c r="K105" s="58"/>
      <x:c r="L105" s="58"/>
      <x:c r="M105" s="58"/>
      <x:c r="N105" s="58"/>
      <x:c r="O105" s="58"/>
      <x:c r="P105" s="58"/>
      <x:c r="Q105" s="58"/>
      <x:c r="R105" s="58"/>
      <x:c r="S105" s="58"/>
      <x:c r="T105" s="58"/>
      <x:c r="U105" s="58"/>
      <x:c r="V105" s="58"/>
      <x:c r="W105" s="58"/>
      <x:c r="X105" s="58"/>
      <x:c r="Y105" s="58"/>
      <x:c r="Z105" s="58"/>
    </x:row>
    <x:row r="106">
      <x:c r="A106" s="58"/>
      <x:c r="B106" s="58"/>
      <x:c r="C106" s="58"/>
      <x:c r="D106" s="58"/>
      <x:c r="E106" s="58"/>
      <x:c r="F106" s="58"/>
      <x:c r="G106" s="58"/>
      <x:c r="H106" s="58"/>
      <x:c r="I106" s="58"/>
      <x:c r="J106" s="58"/>
      <x:c r="K106" s="58"/>
      <x:c r="L106" s="58"/>
      <x:c r="M106" s="58"/>
      <x:c r="N106" s="58"/>
      <x:c r="O106" s="58"/>
      <x:c r="P106" s="58"/>
      <x:c r="Q106" s="58"/>
      <x:c r="R106" s="58"/>
      <x:c r="S106" s="58"/>
      <x:c r="T106" s="58"/>
      <x:c r="U106" s="58"/>
      <x:c r="V106" s="58"/>
      <x:c r="W106" s="58"/>
      <x:c r="X106" s="58"/>
      <x:c r="Y106" s="58"/>
      <x:c r="Z106" s="58"/>
    </x:row>
    <x:row r="107">
      <x:c r="A107" s="58"/>
      <x:c r="B107" s="58"/>
      <x:c r="C107" s="58"/>
      <x:c r="D107" s="58"/>
      <x:c r="E107" s="58"/>
      <x:c r="F107" s="58"/>
      <x:c r="G107" s="58"/>
      <x:c r="H107" s="58"/>
      <x:c r="I107" s="58"/>
      <x:c r="J107" s="58"/>
      <x:c r="K107" s="58"/>
      <x:c r="L107" s="58"/>
      <x:c r="M107" s="58"/>
      <x:c r="N107" s="58"/>
      <x:c r="O107" s="58"/>
      <x:c r="P107" s="58"/>
      <x:c r="Q107" s="58"/>
      <x:c r="R107" s="58"/>
      <x:c r="S107" s="58"/>
      <x:c r="T107" s="58"/>
      <x:c r="U107" s="58"/>
      <x:c r="V107" s="58"/>
      <x:c r="W107" s="58"/>
      <x:c r="X107" s="58"/>
      <x:c r="Y107" s="58"/>
      <x:c r="Z107" s="58"/>
    </x:row>
    <x:row r="108">
      <x:c r="A108" s="58"/>
      <x:c r="B108" s="58"/>
      <x:c r="C108" s="58"/>
      <x:c r="D108" s="58"/>
      <x:c r="E108" s="58"/>
      <x:c r="F108" s="58"/>
      <x:c r="G108" s="58"/>
      <x:c r="H108" s="58"/>
      <x:c r="I108" s="58"/>
      <x:c r="J108" s="58"/>
      <x:c r="K108" s="58"/>
      <x:c r="L108" s="58"/>
      <x:c r="M108" s="58"/>
      <x:c r="N108" s="58"/>
      <x:c r="O108" s="58"/>
      <x:c r="P108" s="58"/>
      <x:c r="Q108" s="58"/>
      <x:c r="R108" s="58"/>
      <x:c r="S108" s="58"/>
      <x:c r="T108" s="58"/>
      <x:c r="U108" s="58"/>
      <x:c r="V108" s="58"/>
      <x:c r="W108" s="58"/>
      <x:c r="X108" s="58"/>
      <x:c r="Y108" s="58"/>
      <x:c r="Z108" s="58"/>
    </x:row>
    <x:row r="109">
      <x:c r="A109" s="58"/>
      <x:c r="B109" s="58"/>
      <x:c r="C109" s="58"/>
      <x:c r="D109" s="58"/>
      <x:c r="E109" s="58"/>
      <x:c r="F109" s="58"/>
      <x:c r="G109" s="58"/>
      <x:c r="H109" s="58"/>
      <x:c r="I109" s="58"/>
      <x:c r="J109" s="58"/>
      <x:c r="K109" s="58"/>
      <x:c r="L109" s="58"/>
      <x:c r="M109" s="58"/>
      <x:c r="N109" s="58"/>
      <x:c r="O109" s="58"/>
      <x:c r="P109" s="58"/>
      <x:c r="Q109" s="58"/>
      <x:c r="R109" s="58"/>
      <x:c r="S109" s="58"/>
      <x:c r="T109" s="58"/>
      <x:c r="U109" s="58"/>
      <x:c r="V109" s="58"/>
      <x:c r="W109" s="58"/>
      <x:c r="X109" s="58"/>
      <x:c r="Y109" s="58"/>
      <x:c r="Z109" s="58"/>
    </x:row>
    <x:row r="110">
      <x:c r="A110" s="58"/>
      <x:c r="B110" s="58"/>
      <x:c r="C110" s="58"/>
      <x:c r="D110" s="58"/>
      <x:c r="E110" s="58"/>
      <x:c r="F110" s="58"/>
      <x:c r="G110" s="58"/>
      <x:c r="H110" s="58"/>
      <x:c r="I110" s="58"/>
      <x:c r="J110" s="58"/>
      <x:c r="K110" s="58"/>
      <x:c r="L110" s="58"/>
      <x:c r="M110" s="58"/>
      <x:c r="N110" s="58"/>
      <x:c r="O110" s="58"/>
      <x:c r="P110" s="58"/>
      <x:c r="Q110" s="58"/>
      <x:c r="R110" s="58"/>
      <x:c r="S110" s="58"/>
      <x:c r="T110" s="58"/>
      <x:c r="U110" s="58"/>
      <x:c r="V110" s="58"/>
      <x:c r="W110" s="58"/>
      <x:c r="X110" s="58"/>
      <x:c r="Y110" s="58"/>
      <x:c r="Z110" s="58"/>
    </x:row>
    <x:row r="111">
      <x:c r="A111" s="58"/>
      <x:c r="B111" s="58"/>
      <x:c r="C111" s="58"/>
      <x:c r="D111" s="58"/>
      <x:c r="E111" s="58"/>
      <x:c r="F111" s="58"/>
      <x:c r="G111" s="58"/>
      <x:c r="H111" s="58"/>
      <x:c r="I111" s="58"/>
      <x:c r="J111" s="58"/>
      <x:c r="K111" s="58"/>
      <x:c r="L111" s="58"/>
      <x:c r="M111" s="58"/>
      <x:c r="N111" s="58"/>
      <x:c r="O111" s="58"/>
      <x:c r="P111" s="58"/>
      <x:c r="Q111" s="58"/>
      <x:c r="R111" s="58"/>
      <x:c r="S111" s="58"/>
      <x:c r="T111" s="58"/>
      <x:c r="U111" s="58"/>
      <x:c r="V111" s="58"/>
      <x:c r="W111" s="58"/>
      <x:c r="X111" s="58"/>
      <x:c r="Y111" s="58"/>
      <x:c r="Z111" s="58"/>
    </x:row>
    <x:row r="112">
      <x:c r="A112" s="58"/>
      <x:c r="B112" s="58"/>
      <x:c r="C112" s="58"/>
      <x:c r="D112" s="58"/>
      <x:c r="E112" s="58"/>
      <x:c r="F112" s="58"/>
      <x:c r="G112" s="58"/>
      <x:c r="H112" s="58"/>
      <x:c r="I112" s="58"/>
      <x:c r="J112" s="58"/>
      <x:c r="K112" s="58"/>
      <x:c r="L112" s="58"/>
      <x:c r="M112" s="58"/>
      <x:c r="N112" s="58"/>
      <x:c r="O112" s="58"/>
      <x:c r="P112" s="58"/>
      <x:c r="Q112" s="58"/>
      <x:c r="R112" s="58"/>
      <x:c r="S112" s="58"/>
      <x:c r="T112" s="58"/>
      <x:c r="U112" s="58"/>
      <x:c r="V112" s="58"/>
      <x:c r="W112" s="58"/>
      <x:c r="X112" s="58"/>
      <x:c r="Y112" s="58"/>
      <x:c r="Z112" s="58"/>
    </x:row>
    <x:row r="113">
      <x:c r="A113" s="58"/>
      <x:c r="B113" s="58"/>
      <x:c r="C113" s="58"/>
      <x:c r="D113" s="58"/>
      <x:c r="E113" s="58"/>
      <x:c r="F113" s="58"/>
      <x:c r="G113" s="58"/>
      <x:c r="H113" s="58"/>
      <x:c r="I113" s="58"/>
      <x:c r="J113" s="58"/>
      <x:c r="K113" s="58"/>
      <x:c r="L113" s="58"/>
      <x:c r="M113" s="58"/>
      <x:c r="N113" s="58"/>
      <x:c r="O113" s="58"/>
      <x:c r="P113" s="58"/>
      <x:c r="Q113" s="58"/>
      <x:c r="R113" s="58"/>
      <x:c r="S113" s="58"/>
      <x:c r="T113" s="58"/>
      <x:c r="U113" s="58"/>
      <x:c r="V113" s="58"/>
      <x:c r="W113" s="58"/>
      <x:c r="X113" s="58"/>
      <x:c r="Y113" s="58"/>
      <x:c r="Z113" s="58"/>
    </x:row>
    <x:row r="114">
      <x:c r="A114" s="58"/>
      <x:c r="B114" s="58"/>
      <x:c r="C114" s="58"/>
      <x:c r="D114" s="58"/>
      <x:c r="E114" s="58"/>
      <x:c r="F114" s="58"/>
      <x:c r="G114" s="58"/>
      <x:c r="H114" s="58"/>
      <x:c r="I114" s="58"/>
      <x:c r="J114" s="58"/>
      <x:c r="K114" s="58"/>
      <x:c r="L114" s="58"/>
      <x:c r="M114" s="58"/>
      <x:c r="N114" s="58"/>
      <x:c r="O114" s="58"/>
      <x:c r="P114" s="58"/>
      <x:c r="Q114" s="58"/>
      <x:c r="R114" s="58"/>
      <x:c r="S114" s="58"/>
      <x:c r="T114" s="58"/>
      <x:c r="U114" s="58"/>
      <x:c r="V114" s="58"/>
      <x:c r="W114" s="58"/>
      <x:c r="X114" s="58"/>
      <x:c r="Y114" s="58"/>
      <x:c r="Z114" s="58"/>
    </x:row>
    <x:row r="115">
      <x:c r="A115" s="58"/>
      <x:c r="B115" s="58"/>
      <x:c r="C115" s="58"/>
      <x:c r="D115" s="58"/>
      <x:c r="E115" s="58"/>
      <x:c r="F115" s="58"/>
      <x:c r="G115" s="58"/>
      <x:c r="H115" s="58"/>
      <x:c r="I115" s="58"/>
      <x:c r="J115" s="58"/>
      <x:c r="K115" s="58"/>
      <x:c r="L115" s="58"/>
      <x:c r="M115" s="58"/>
      <x:c r="N115" s="58"/>
      <x:c r="O115" s="58"/>
      <x:c r="P115" s="58"/>
      <x:c r="Q115" s="58"/>
      <x:c r="R115" s="58"/>
      <x:c r="S115" s="58"/>
      <x:c r="T115" s="58"/>
      <x:c r="U115" s="58"/>
      <x:c r="V115" s="58"/>
      <x:c r="W115" s="58"/>
      <x:c r="X115" s="58"/>
      <x:c r="Y115" s="58"/>
      <x:c r="Z115" s="58"/>
    </x:row>
    <x:row r="116">
      <x:c r="A116" s="58"/>
      <x:c r="B116" s="58"/>
      <x:c r="C116" s="58"/>
      <x:c r="D116" s="58"/>
      <x:c r="E116" s="58"/>
      <x:c r="F116" s="58"/>
      <x:c r="G116" s="58"/>
      <x:c r="H116" s="58"/>
      <x:c r="I116" s="58"/>
      <x:c r="J116" s="58"/>
      <x:c r="K116" s="58"/>
      <x:c r="L116" s="58"/>
      <x:c r="M116" s="58"/>
      <x:c r="N116" s="58"/>
      <x:c r="O116" s="58"/>
      <x:c r="P116" s="58"/>
      <x:c r="Q116" s="58"/>
      <x:c r="R116" s="58"/>
      <x:c r="S116" s="58"/>
      <x:c r="T116" s="58"/>
      <x:c r="U116" s="58"/>
      <x:c r="V116" s="58"/>
      <x:c r="W116" s="58"/>
      <x:c r="X116" s="58"/>
      <x:c r="Y116" s="58"/>
      <x:c r="Z116" s="58"/>
    </x:row>
    <x:row r="117">
      <x:c r="A117" s="58"/>
      <x:c r="B117" s="58"/>
      <x:c r="C117" s="58"/>
      <x:c r="D117" s="58"/>
      <x:c r="E117" s="58"/>
      <x:c r="F117" s="58"/>
      <x:c r="G117" s="58"/>
      <x:c r="H117" s="58"/>
      <x:c r="I117" s="58"/>
      <x:c r="J117" s="58"/>
      <x:c r="K117" s="58"/>
      <x:c r="L117" s="58"/>
      <x:c r="M117" s="58"/>
      <x:c r="N117" s="58"/>
      <x:c r="O117" s="58"/>
      <x:c r="P117" s="58"/>
      <x:c r="Q117" s="58"/>
      <x:c r="R117" s="58"/>
      <x:c r="S117" s="58"/>
      <x:c r="T117" s="58"/>
      <x:c r="U117" s="58"/>
      <x:c r="V117" s="58"/>
      <x:c r="W117" s="58"/>
      <x:c r="X117" s="58"/>
      <x:c r="Y117" s="58"/>
      <x:c r="Z117" s="58"/>
    </x:row>
    <x:row r="118">
      <x:c r="A118" s="58"/>
      <x:c r="B118" s="58"/>
      <x:c r="C118" s="58"/>
      <x:c r="D118" s="58"/>
      <x:c r="E118" s="58"/>
      <x:c r="F118" s="58"/>
      <x:c r="G118" s="58"/>
      <x:c r="H118" s="58"/>
      <x:c r="I118" s="58"/>
      <x:c r="J118" s="58"/>
      <x:c r="K118" s="58"/>
      <x:c r="L118" s="58"/>
      <x:c r="M118" s="58"/>
      <x:c r="N118" s="58"/>
      <x:c r="O118" s="58"/>
      <x:c r="P118" s="58"/>
      <x:c r="Q118" s="58"/>
      <x:c r="R118" s="58"/>
      <x:c r="S118" s="58"/>
      <x:c r="T118" s="58"/>
      <x:c r="U118" s="58"/>
      <x:c r="V118" s="58"/>
      <x:c r="W118" s="58"/>
      <x:c r="X118" s="58"/>
      <x:c r="Y118" s="58"/>
      <x:c r="Z118" s="58"/>
    </x:row>
    <x:row r="119">
      <x:c r="A119" s="58"/>
      <x:c r="B119" s="58"/>
      <x:c r="C119" s="58"/>
      <x:c r="D119" s="58"/>
      <x:c r="E119" s="58"/>
      <x:c r="F119" s="58"/>
      <x:c r="G119" s="58"/>
      <x:c r="H119" s="58"/>
      <x:c r="I119" s="58"/>
      <x:c r="J119" s="58"/>
      <x:c r="K119" s="58"/>
      <x:c r="L119" s="58"/>
      <x:c r="M119" s="58"/>
      <x:c r="N119" s="58"/>
      <x:c r="O119" s="58"/>
      <x:c r="P119" s="58"/>
      <x:c r="Q119" s="58"/>
      <x:c r="R119" s="58"/>
      <x:c r="S119" s="58"/>
      <x:c r="T119" s="58"/>
      <x:c r="U119" s="58"/>
      <x:c r="V119" s="58"/>
      <x:c r="W119" s="58"/>
      <x:c r="X119" s="58"/>
      <x:c r="Y119" s="58"/>
      <x:c r="Z119" s="58"/>
    </x:row>
    <x:row r="120">
      <x:c r="A120" s="58"/>
      <x:c r="B120" s="58"/>
      <x:c r="C120" s="58"/>
      <x:c r="D120" s="58"/>
      <x:c r="E120" s="58"/>
      <x:c r="F120" s="58"/>
      <x:c r="G120" s="58"/>
      <x:c r="H120" s="58"/>
      <x:c r="I120" s="58"/>
      <x:c r="J120" s="58"/>
      <x:c r="K120" s="58"/>
      <x:c r="L120" s="58"/>
      <x:c r="M120" s="58"/>
      <x:c r="N120" s="58"/>
      <x:c r="O120" s="58"/>
      <x:c r="P120" s="58"/>
      <x:c r="Q120" s="58"/>
      <x:c r="R120" s="58"/>
      <x:c r="S120" s="58"/>
      <x:c r="T120" s="58"/>
      <x:c r="U120" s="58"/>
      <x:c r="V120" s="58"/>
      <x:c r="W120" s="58"/>
      <x:c r="X120" s="58"/>
      <x:c r="Y120" s="58"/>
      <x:c r="Z120" s="58"/>
    </x:row>
    <x:row r="121">
      <x:c r="A121" s="58"/>
      <x:c r="B121" s="58"/>
      <x:c r="C121" s="58"/>
      <x:c r="D121" s="58"/>
      <x:c r="E121" s="58"/>
      <x:c r="F121" s="58"/>
      <x:c r="G121" s="58"/>
      <x:c r="H121" s="58"/>
      <x:c r="I121" s="58"/>
      <x:c r="J121" s="58"/>
      <x:c r="K121" s="58"/>
      <x:c r="L121" s="58"/>
      <x:c r="M121" s="58"/>
      <x:c r="N121" s="58"/>
      <x:c r="O121" s="58"/>
      <x:c r="P121" s="58"/>
      <x:c r="Q121" s="58"/>
      <x:c r="R121" s="58"/>
      <x:c r="S121" s="58"/>
      <x:c r="T121" s="58"/>
      <x:c r="U121" s="58"/>
      <x:c r="V121" s="58"/>
      <x:c r="W121" s="58"/>
      <x:c r="X121" s="58"/>
      <x:c r="Y121" s="58"/>
      <x:c r="Z121" s="58"/>
    </x:row>
    <x:row r="122">
      <x:c r="A122" s="58"/>
      <x:c r="B122" s="58"/>
      <x:c r="C122" s="58"/>
      <x:c r="D122" s="58"/>
      <x:c r="E122" s="58"/>
      <x:c r="F122" s="58"/>
      <x:c r="G122" s="58"/>
      <x:c r="H122" s="58"/>
      <x:c r="I122" s="58"/>
      <x:c r="J122" s="58"/>
      <x:c r="K122" s="58"/>
      <x:c r="L122" s="58"/>
      <x:c r="M122" s="58"/>
      <x:c r="N122" s="58"/>
      <x:c r="O122" s="58"/>
      <x:c r="P122" s="58"/>
      <x:c r="Q122" s="58"/>
      <x:c r="R122" s="58"/>
      <x:c r="S122" s="58"/>
      <x:c r="T122" s="58"/>
      <x:c r="U122" s="58"/>
      <x:c r="V122" s="58"/>
      <x:c r="W122" s="58"/>
      <x:c r="X122" s="58"/>
      <x:c r="Y122" s="58"/>
      <x:c r="Z122" s="58"/>
    </x:row>
    <x:row r="123">
      <x:c r="A123" s="58"/>
      <x:c r="B123" s="58"/>
      <x:c r="C123" s="58"/>
      <x:c r="D123" s="58"/>
      <x:c r="E123" s="58"/>
      <x:c r="F123" s="58"/>
      <x:c r="G123" s="58"/>
      <x:c r="H123" s="58"/>
      <x:c r="I123" s="58"/>
      <x:c r="J123" s="58"/>
      <x:c r="K123" s="58"/>
      <x:c r="L123" s="58"/>
      <x:c r="M123" s="58"/>
      <x:c r="N123" s="58"/>
      <x:c r="O123" s="58"/>
      <x:c r="P123" s="58"/>
      <x:c r="Q123" s="58"/>
      <x:c r="R123" s="58"/>
      <x:c r="S123" s="58"/>
      <x:c r="T123" s="58"/>
      <x:c r="U123" s="58"/>
      <x:c r="V123" s="58"/>
      <x:c r="W123" s="58"/>
      <x:c r="X123" s="58"/>
      <x:c r="Y123" s="58"/>
      <x:c r="Z123" s="58"/>
    </x:row>
    <x:row r="124">
      <x:c r="A124" s="58"/>
      <x:c r="B124" s="58"/>
      <x:c r="C124" s="58"/>
      <x:c r="D124" s="58"/>
      <x:c r="E124" s="58"/>
      <x:c r="F124" s="58"/>
      <x:c r="G124" s="58"/>
      <x:c r="H124" s="58"/>
      <x:c r="I124" s="58"/>
      <x:c r="J124" s="58"/>
      <x:c r="K124" s="58"/>
      <x:c r="L124" s="58"/>
      <x:c r="M124" s="58"/>
      <x:c r="N124" s="58"/>
      <x:c r="O124" s="58"/>
      <x:c r="P124" s="58"/>
      <x:c r="Q124" s="58"/>
      <x:c r="R124" s="58"/>
      <x:c r="S124" s="58"/>
      <x:c r="T124" s="58"/>
      <x:c r="U124" s="58"/>
      <x:c r="V124" s="58"/>
      <x:c r="W124" s="58"/>
      <x:c r="X124" s="58"/>
      <x:c r="Y124" s="58"/>
      <x:c r="Z124" s="58"/>
    </x:row>
    <x:row r="125">
      <x:c r="A125" s="58"/>
      <x:c r="B125" s="58"/>
      <x:c r="C125" s="58"/>
      <x:c r="D125" s="58"/>
      <x:c r="E125" s="58"/>
      <x:c r="F125" s="58"/>
      <x:c r="G125" s="58"/>
      <x:c r="H125" s="58"/>
      <x:c r="I125" s="58"/>
      <x:c r="J125" s="58"/>
      <x:c r="K125" s="58"/>
      <x:c r="L125" s="58"/>
      <x:c r="M125" s="58"/>
      <x:c r="N125" s="58"/>
      <x:c r="O125" s="58"/>
      <x:c r="P125" s="58"/>
      <x:c r="Q125" s="58"/>
      <x:c r="R125" s="58"/>
      <x:c r="S125" s="58"/>
      <x:c r="T125" s="58"/>
      <x:c r="U125" s="58"/>
      <x:c r="V125" s="58"/>
      <x:c r="W125" s="58"/>
      <x:c r="X125" s="58"/>
      <x:c r="Y125" s="58"/>
      <x:c r="Z125" s="58"/>
    </x:row>
    <x:row r="126">
      <x:c r="A126" s="58"/>
      <x:c r="B126" s="58"/>
      <x:c r="C126" s="58"/>
      <x:c r="D126" s="58"/>
      <x:c r="E126" s="58"/>
      <x:c r="F126" s="58"/>
      <x:c r="G126" s="58"/>
      <x:c r="H126" s="58"/>
      <x:c r="I126" s="58"/>
      <x:c r="J126" s="58"/>
      <x:c r="K126" s="58"/>
      <x:c r="L126" s="58"/>
      <x:c r="M126" s="58"/>
      <x:c r="N126" s="58"/>
      <x:c r="O126" s="58"/>
      <x:c r="P126" s="58"/>
      <x:c r="Q126" s="58"/>
      <x:c r="R126" s="58"/>
      <x:c r="S126" s="58"/>
      <x:c r="T126" s="58"/>
      <x:c r="U126" s="58"/>
      <x:c r="V126" s="58"/>
      <x:c r="W126" s="58"/>
      <x:c r="X126" s="58"/>
      <x:c r="Y126" s="58"/>
      <x:c r="Z126" s="58"/>
    </x:row>
    <x:row r="127">
      <x:c r="A127" s="58"/>
      <x:c r="B127" s="58"/>
      <x:c r="C127" s="58"/>
      <x:c r="D127" s="58"/>
      <x:c r="E127" s="58"/>
      <x:c r="F127" s="58"/>
      <x:c r="G127" s="58"/>
      <x:c r="H127" s="58"/>
      <x:c r="I127" s="58"/>
      <x:c r="J127" s="58"/>
      <x:c r="K127" s="58"/>
      <x:c r="L127" s="58"/>
      <x:c r="M127" s="58"/>
      <x:c r="N127" s="58"/>
      <x:c r="O127" s="58"/>
      <x:c r="P127" s="58"/>
      <x:c r="Q127" s="58"/>
      <x:c r="R127" s="58"/>
      <x:c r="S127" s="58"/>
      <x:c r="T127" s="58"/>
      <x:c r="U127" s="58"/>
      <x:c r="V127" s="58"/>
      <x:c r="W127" s="58"/>
      <x:c r="X127" s="58"/>
      <x:c r="Y127" s="58"/>
      <x:c r="Z127" s="58"/>
    </x:row>
    <x:row r="128">
      <x:c r="A128" s="58"/>
      <x:c r="B128" s="58"/>
      <x:c r="C128" s="58"/>
      <x:c r="D128" s="58"/>
      <x:c r="E128" s="58"/>
      <x:c r="F128" s="58"/>
      <x:c r="G128" s="58"/>
      <x:c r="H128" s="58"/>
      <x:c r="I128" s="58"/>
      <x:c r="J128" s="58"/>
      <x:c r="K128" s="58"/>
      <x:c r="L128" s="58"/>
      <x:c r="M128" s="58"/>
      <x:c r="N128" s="58"/>
      <x:c r="O128" s="58"/>
      <x:c r="P128" s="58"/>
      <x:c r="Q128" s="58"/>
      <x:c r="R128" s="58"/>
      <x:c r="S128" s="58"/>
      <x:c r="T128" s="58"/>
      <x:c r="U128" s="58"/>
      <x:c r="V128" s="58"/>
      <x:c r="W128" s="58"/>
      <x:c r="X128" s="58"/>
      <x:c r="Y128" s="58"/>
      <x:c r="Z128" s="58"/>
    </x:row>
    <x:row r="129">
      <x:c r="A129" s="58"/>
      <x:c r="B129" s="58"/>
      <x:c r="C129" s="58"/>
      <x:c r="D129" s="58"/>
      <x:c r="E129" s="58"/>
      <x:c r="F129" s="58"/>
      <x:c r="G129" s="58"/>
      <x:c r="H129" s="58"/>
      <x:c r="I129" s="58"/>
      <x:c r="J129" s="58"/>
      <x:c r="K129" s="58"/>
      <x:c r="L129" s="58"/>
      <x:c r="M129" s="58"/>
      <x:c r="N129" s="58"/>
      <x:c r="O129" s="58"/>
      <x:c r="P129" s="58"/>
      <x:c r="Q129" s="58"/>
      <x:c r="R129" s="58"/>
      <x:c r="S129" s="58"/>
      <x:c r="T129" s="58"/>
      <x:c r="U129" s="58"/>
      <x:c r="V129" s="58"/>
      <x:c r="W129" s="58"/>
      <x:c r="X129" s="58"/>
      <x:c r="Y129" s="58"/>
      <x:c r="Z129" s="58"/>
    </x:row>
    <x:row r="130">
      <x:c r="A130" s="58"/>
      <x:c r="B130" s="58"/>
      <x:c r="C130" s="58"/>
      <x:c r="D130" s="58"/>
      <x:c r="E130" s="58"/>
      <x:c r="F130" s="58"/>
      <x:c r="G130" s="58"/>
      <x:c r="H130" s="58"/>
      <x:c r="I130" s="58"/>
      <x:c r="J130" s="58"/>
      <x:c r="K130" s="58"/>
      <x:c r="L130" s="58"/>
      <x:c r="M130" s="58"/>
      <x:c r="N130" s="58"/>
      <x:c r="O130" s="58"/>
      <x:c r="P130" s="58"/>
      <x:c r="Q130" s="58"/>
      <x:c r="R130" s="58"/>
      <x:c r="S130" s="58"/>
      <x:c r="T130" s="58"/>
      <x:c r="U130" s="58"/>
      <x:c r="V130" s="58"/>
      <x:c r="W130" s="58"/>
      <x:c r="X130" s="58"/>
      <x:c r="Y130" s="58"/>
      <x:c r="Z130" s="58"/>
    </x:row>
    <x:row r="131">
      <x:c r="A131" s="58"/>
      <x:c r="B131" s="58"/>
      <x:c r="C131" s="58"/>
      <x:c r="D131" s="58"/>
      <x:c r="E131" s="58"/>
      <x:c r="F131" s="58"/>
      <x:c r="G131" s="58"/>
      <x:c r="H131" s="58"/>
      <x:c r="I131" s="58"/>
      <x:c r="J131" s="58"/>
      <x:c r="K131" s="58"/>
      <x:c r="L131" s="58"/>
      <x:c r="M131" s="58"/>
      <x:c r="N131" s="58"/>
      <x:c r="O131" s="58"/>
      <x:c r="P131" s="58"/>
      <x:c r="Q131" s="58"/>
      <x:c r="R131" s="58"/>
      <x:c r="S131" s="58"/>
      <x:c r="T131" s="58"/>
      <x:c r="U131" s="58"/>
      <x:c r="V131" s="58"/>
      <x:c r="W131" s="58"/>
      <x:c r="X131" s="58"/>
      <x:c r="Y131" s="58"/>
      <x:c r="Z131" s="58"/>
    </x:row>
    <x:row r="132">
      <x:c r="A132" s="58"/>
      <x:c r="B132" s="58"/>
      <x:c r="C132" s="58"/>
      <x:c r="D132" s="58"/>
      <x:c r="E132" s="58"/>
      <x:c r="F132" s="58"/>
      <x:c r="G132" s="58"/>
      <x:c r="H132" s="58"/>
      <x:c r="I132" s="58"/>
      <x:c r="J132" s="58"/>
      <x:c r="K132" s="58"/>
      <x:c r="L132" s="58"/>
      <x:c r="M132" s="58"/>
      <x:c r="N132" s="58"/>
      <x:c r="O132" s="58"/>
      <x:c r="P132" s="58"/>
      <x:c r="Q132" s="58"/>
      <x:c r="R132" s="58"/>
      <x:c r="S132" s="58"/>
      <x:c r="T132" s="58"/>
      <x:c r="U132" s="58"/>
      <x:c r="V132" s="58"/>
      <x:c r="W132" s="58"/>
      <x:c r="X132" s="58"/>
      <x:c r="Y132" s="58"/>
      <x:c r="Z132" s="58"/>
    </x:row>
    <x:row r="133">
      <x:c r="A133" s="58"/>
      <x:c r="B133" s="58"/>
      <x:c r="C133" s="58"/>
      <x:c r="D133" s="58"/>
      <x:c r="E133" s="58"/>
      <x:c r="F133" s="58"/>
      <x:c r="G133" s="58"/>
      <x:c r="H133" s="58"/>
      <x:c r="I133" s="58"/>
      <x:c r="J133" s="58"/>
      <x:c r="K133" s="58"/>
      <x:c r="L133" s="58"/>
      <x:c r="M133" s="58"/>
      <x:c r="N133" s="58"/>
      <x:c r="O133" s="58"/>
      <x:c r="P133" s="58"/>
      <x:c r="Q133" s="58"/>
      <x:c r="R133" s="58"/>
      <x:c r="S133" s="58"/>
      <x:c r="T133" s="58"/>
      <x:c r="U133" s="58"/>
      <x:c r="V133" s="58"/>
      <x:c r="W133" s="58"/>
      <x:c r="X133" s="58"/>
      <x:c r="Y133" s="58"/>
      <x:c r="Z133" s="58"/>
    </x:row>
    <x:row r="134">
      <x:c r="A134" s="58"/>
      <x:c r="B134" s="58"/>
      <x:c r="C134" s="58"/>
      <x:c r="D134" s="58"/>
      <x:c r="E134" s="58"/>
      <x:c r="F134" s="58"/>
      <x:c r="G134" s="58"/>
      <x:c r="H134" s="58"/>
      <x:c r="I134" s="58"/>
      <x:c r="J134" s="58"/>
      <x:c r="K134" s="58"/>
      <x:c r="L134" s="58"/>
      <x:c r="M134" s="58"/>
      <x:c r="N134" s="58"/>
      <x:c r="O134" s="58"/>
      <x:c r="P134" s="58"/>
      <x:c r="Q134" s="58"/>
      <x:c r="R134" s="58"/>
      <x:c r="S134" s="58"/>
      <x:c r="T134" s="58"/>
      <x:c r="U134" s="58"/>
      <x:c r="V134" s="58"/>
      <x:c r="W134" s="58"/>
      <x:c r="X134" s="58"/>
      <x:c r="Y134" s="58"/>
      <x:c r="Z134" s="58"/>
    </x:row>
    <x:row r="135">
      <x:c r="A135" s="58"/>
      <x:c r="B135" s="58"/>
      <x:c r="C135" s="58"/>
      <x:c r="D135" s="58"/>
      <x:c r="E135" s="58"/>
      <x:c r="F135" s="58"/>
      <x:c r="G135" s="58"/>
      <x:c r="H135" s="58"/>
      <x:c r="I135" s="58"/>
      <x:c r="J135" s="58"/>
      <x:c r="K135" s="58"/>
      <x:c r="L135" s="58"/>
      <x:c r="M135" s="58"/>
      <x:c r="N135" s="58"/>
      <x:c r="O135" s="58"/>
      <x:c r="P135" s="58"/>
      <x:c r="Q135" s="58"/>
      <x:c r="R135" s="58"/>
      <x:c r="S135" s="58"/>
      <x:c r="T135" s="58"/>
      <x:c r="U135" s="58"/>
      <x:c r="V135" s="58"/>
      <x:c r="W135" s="58"/>
      <x:c r="X135" s="58"/>
      <x:c r="Y135" s="58"/>
      <x:c r="Z135" s="58"/>
    </x:row>
    <x:row r="136">
      <x:c r="A136" s="58"/>
      <x:c r="B136" s="58"/>
      <x:c r="C136" s="58"/>
      <x:c r="D136" s="58"/>
      <x:c r="E136" s="58"/>
      <x:c r="F136" s="58"/>
      <x:c r="G136" s="58"/>
      <x:c r="H136" s="58"/>
      <x:c r="I136" s="58"/>
      <x:c r="J136" s="58"/>
      <x:c r="K136" s="58"/>
      <x:c r="L136" s="58"/>
      <x:c r="M136" s="58"/>
      <x:c r="N136" s="58"/>
      <x:c r="O136" s="58"/>
      <x:c r="P136" s="58"/>
      <x:c r="Q136" s="58"/>
      <x:c r="R136" s="58"/>
      <x:c r="S136" s="58"/>
      <x:c r="T136" s="58"/>
      <x:c r="U136" s="58"/>
      <x:c r="V136" s="58"/>
      <x:c r="W136" s="58"/>
      <x:c r="X136" s="58"/>
      <x:c r="Y136" s="58"/>
      <x:c r="Z136" s="58"/>
    </x:row>
    <x:row r="137">
      <x:c r="A137" s="58"/>
      <x:c r="B137" s="58"/>
      <x:c r="C137" s="58"/>
      <x:c r="D137" s="58"/>
      <x:c r="E137" s="58"/>
      <x:c r="F137" s="58"/>
      <x:c r="G137" s="58"/>
      <x:c r="H137" s="58"/>
      <x:c r="I137" s="58"/>
      <x:c r="J137" s="58"/>
      <x:c r="K137" s="58"/>
      <x:c r="L137" s="58"/>
      <x:c r="M137" s="58"/>
      <x:c r="N137" s="58"/>
      <x:c r="O137" s="58"/>
      <x:c r="P137" s="58"/>
      <x:c r="Q137" s="58"/>
      <x:c r="R137" s="58"/>
      <x:c r="S137" s="58"/>
      <x:c r="T137" s="58"/>
      <x:c r="U137" s="58"/>
      <x:c r="V137" s="58"/>
      <x:c r="W137" s="58"/>
      <x:c r="X137" s="58"/>
      <x:c r="Y137" s="58"/>
      <x:c r="Z137" s="58"/>
    </x:row>
    <x:row r="138">
      <x:c r="A138" s="58"/>
      <x:c r="B138" s="58"/>
      <x:c r="C138" s="58"/>
      <x:c r="D138" s="58"/>
      <x:c r="E138" s="58"/>
      <x:c r="F138" s="58"/>
      <x:c r="G138" s="58"/>
      <x:c r="H138" s="58"/>
      <x:c r="I138" s="58"/>
      <x:c r="J138" s="58"/>
      <x:c r="K138" s="58"/>
      <x:c r="L138" s="58"/>
      <x:c r="M138" s="58"/>
      <x:c r="N138" s="58"/>
      <x:c r="O138" s="58"/>
      <x:c r="P138" s="58"/>
      <x:c r="Q138" s="58"/>
      <x:c r="R138" s="58"/>
      <x:c r="S138" s="58"/>
      <x:c r="T138" s="58"/>
      <x:c r="U138" s="58"/>
      <x:c r="V138" s="58"/>
      <x:c r="W138" s="58"/>
      <x:c r="X138" s="58"/>
      <x:c r="Y138" s="58"/>
      <x:c r="Z138" s="58"/>
    </x:row>
    <x:row r="139">
      <x:c r="A139" s="58"/>
      <x:c r="B139" s="58"/>
      <x:c r="C139" s="58"/>
      <x:c r="D139" s="58"/>
      <x:c r="E139" s="58"/>
      <x:c r="F139" s="58"/>
      <x:c r="G139" s="58"/>
      <x:c r="H139" s="58"/>
      <x:c r="I139" s="58"/>
      <x:c r="J139" s="58"/>
      <x:c r="K139" s="58"/>
      <x:c r="L139" s="58"/>
      <x:c r="M139" s="58"/>
      <x:c r="N139" s="58"/>
      <x:c r="O139" s="58"/>
      <x:c r="P139" s="58"/>
      <x:c r="Q139" s="58"/>
      <x:c r="R139" s="58"/>
      <x:c r="S139" s="58"/>
      <x:c r="T139" s="58"/>
      <x:c r="U139" s="58"/>
      <x:c r="V139" s="58"/>
      <x:c r="W139" s="58"/>
      <x:c r="X139" s="58"/>
      <x:c r="Y139" s="58"/>
      <x:c r="Z139" s="58"/>
    </x:row>
    <x:row r="140">
      <x:c r="A140" s="58"/>
      <x:c r="B140" s="58"/>
      <x:c r="C140" s="58"/>
      <x:c r="D140" s="58"/>
      <x:c r="E140" s="58"/>
      <x:c r="F140" s="58"/>
      <x:c r="G140" s="58"/>
      <x:c r="H140" s="58"/>
      <x:c r="I140" s="58"/>
      <x:c r="J140" s="58"/>
      <x:c r="K140" s="58"/>
      <x:c r="L140" s="58"/>
      <x:c r="M140" s="58"/>
      <x:c r="N140" s="58"/>
      <x:c r="O140" s="58"/>
      <x:c r="P140" s="58"/>
      <x:c r="Q140" s="58"/>
      <x:c r="R140" s="58"/>
      <x:c r="S140" s="58"/>
      <x:c r="T140" s="58"/>
      <x:c r="U140" s="58"/>
      <x:c r="V140" s="58"/>
      <x:c r="W140" s="58"/>
      <x:c r="X140" s="58"/>
      <x:c r="Y140" s="58"/>
      <x:c r="Z140" s="58"/>
    </x:row>
    <x:row r="141">
      <x:c r="A141" s="58"/>
      <x:c r="B141" s="58"/>
      <x:c r="C141" s="58"/>
      <x:c r="D141" s="58"/>
      <x:c r="E141" s="58"/>
      <x:c r="F141" s="58"/>
      <x:c r="G141" s="58"/>
      <x:c r="H141" s="58"/>
      <x:c r="I141" s="58"/>
      <x:c r="J141" s="58"/>
      <x:c r="K141" s="58"/>
      <x:c r="L141" s="58"/>
      <x:c r="M141" s="58"/>
      <x:c r="N141" s="58"/>
      <x:c r="O141" s="58"/>
      <x:c r="P141" s="58"/>
      <x:c r="Q141" s="58"/>
      <x:c r="R141" s="58"/>
      <x:c r="S141" s="58"/>
      <x:c r="T141" s="58"/>
      <x:c r="U141" s="58"/>
      <x:c r="V141" s="58"/>
      <x:c r="W141" s="58"/>
      <x:c r="X141" s="58"/>
      <x:c r="Y141" s="58"/>
      <x:c r="Z141" s="58"/>
    </x:row>
    <x:row r="142">
      <x:c r="A142" s="58"/>
      <x:c r="B142" s="58"/>
      <x:c r="C142" s="58"/>
      <x:c r="D142" s="58"/>
      <x:c r="E142" s="58"/>
      <x:c r="F142" s="58"/>
      <x:c r="G142" s="58"/>
      <x:c r="H142" s="58"/>
      <x:c r="I142" s="58"/>
      <x:c r="J142" s="58"/>
      <x:c r="K142" s="58"/>
      <x:c r="L142" s="58"/>
      <x:c r="M142" s="58"/>
      <x:c r="N142" s="58"/>
      <x:c r="O142" s="58"/>
      <x:c r="P142" s="58"/>
      <x:c r="Q142" s="58"/>
      <x:c r="R142" s="58"/>
      <x:c r="S142" s="58"/>
      <x:c r="T142" s="58"/>
      <x:c r="U142" s="58"/>
      <x:c r="V142" s="58"/>
      <x:c r="W142" s="58"/>
      <x:c r="X142" s="58"/>
      <x:c r="Y142" s="58"/>
      <x:c r="Z142" s="58"/>
    </x:row>
    <x:row r="143">
      <x:c r="A143" s="58"/>
      <x:c r="B143" s="58"/>
      <x:c r="C143" s="58"/>
      <x:c r="D143" s="58"/>
      <x:c r="E143" s="58"/>
      <x:c r="F143" s="58"/>
      <x:c r="G143" s="58"/>
      <x:c r="H143" s="58"/>
      <x:c r="I143" s="58"/>
      <x:c r="J143" s="58"/>
      <x:c r="K143" s="58"/>
      <x:c r="L143" s="58"/>
      <x:c r="M143" s="58"/>
      <x:c r="N143" s="58"/>
      <x:c r="O143" s="58"/>
      <x:c r="P143" s="58"/>
      <x:c r="Q143" s="58"/>
      <x:c r="R143" s="58"/>
      <x:c r="S143" s="58"/>
      <x:c r="T143" s="58"/>
      <x:c r="U143" s="58"/>
      <x:c r="V143" s="58"/>
      <x:c r="W143" s="58"/>
      <x:c r="X143" s="58"/>
      <x:c r="Y143" s="58"/>
      <x:c r="Z143" s="58"/>
    </x:row>
    <x:row r="144">
      <x:c r="A144" s="58"/>
      <x:c r="B144" s="58"/>
      <x:c r="C144" s="58"/>
      <x:c r="D144" s="58"/>
      <x:c r="E144" s="58"/>
      <x:c r="F144" s="58"/>
      <x:c r="G144" s="58"/>
      <x:c r="H144" s="58"/>
      <x:c r="I144" s="58"/>
      <x:c r="J144" s="58"/>
      <x:c r="K144" s="58"/>
      <x:c r="L144" s="58"/>
      <x:c r="M144" s="58"/>
      <x:c r="N144" s="58"/>
      <x:c r="O144" s="58"/>
      <x:c r="P144" s="58"/>
      <x:c r="Q144" s="58"/>
      <x:c r="R144" s="58"/>
      <x:c r="S144" s="58"/>
      <x:c r="T144" s="58"/>
      <x:c r="U144" s="58"/>
      <x:c r="V144" s="58"/>
      <x:c r="W144" s="58"/>
      <x:c r="X144" s="58"/>
      <x:c r="Y144" s="58"/>
      <x:c r="Z144" s="58"/>
    </x:row>
    <x:row r="145">
      <x:c r="A145" s="58"/>
      <x:c r="B145" s="58"/>
      <x:c r="C145" s="58"/>
      <x:c r="D145" s="58"/>
      <x:c r="E145" s="58"/>
      <x:c r="F145" s="58"/>
      <x:c r="G145" s="58"/>
      <x:c r="H145" s="58"/>
      <x:c r="I145" s="58"/>
      <x:c r="J145" s="58"/>
      <x:c r="K145" s="58"/>
      <x:c r="L145" s="58"/>
      <x:c r="M145" s="58"/>
      <x:c r="N145" s="58"/>
      <x:c r="O145" s="58"/>
      <x:c r="P145" s="58"/>
      <x:c r="Q145" s="58"/>
      <x:c r="R145" s="58"/>
      <x:c r="S145" s="58"/>
      <x:c r="T145" s="58"/>
      <x:c r="U145" s="58"/>
      <x:c r="V145" s="58"/>
      <x:c r="W145" s="58"/>
      <x:c r="X145" s="58"/>
      <x:c r="Y145" s="58"/>
      <x:c r="Z145" s="58"/>
    </x:row>
    <x:row r="146">
      <x:c r="A146" s="58"/>
      <x:c r="B146" s="58"/>
      <x:c r="C146" s="58"/>
      <x:c r="D146" s="58"/>
      <x:c r="E146" s="58"/>
      <x:c r="F146" s="58"/>
      <x:c r="G146" s="58"/>
      <x:c r="H146" s="58"/>
      <x:c r="I146" s="58"/>
      <x:c r="J146" s="58"/>
      <x:c r="K146" s="58"/>
      <x:c r="L146" s="58"/>
      <x:c r="M146" s="58"/>
      <x:c r="N146" s="58"/>
      <x:c r="O146" s="58"/>
      <x:c r="P146" s="58"/>
      <x:c r="Q146" s="58"/>
      <x:c r="R146" s="58"/>
      <x:c r="S146" s="58"/>
      <x:c r="T146" s="58"/>
      <x:c r="U146" s="58"/>
      <x:c r="V146" s="58"/>
      <x:c r="W146" s="58"/>
      <x:c r="X146" s="58"/>
      <x:c r="Y146" s="58"/>
      <x:c r="Z146" s="58"/>
    </x:row>
    <x:row r="147">
      <x:c r="A147" s="58"/>
      <x:c r="B147" s="58"/>
      <x:c r="C147" s="58"/>
      <x:c r="D147" s="58"/>
      <x:c r="E147" s="58"/>
      <x:c r="F147" s="58"/>
      <x:c r="G147" s="58"/>
      <x:c r="H147" s="58"/>
      <x:c r="I147" s="58"/>
      <x:c r="J147" s="58"/>
      <x:c r="K147" s="58"/>
      <x:c r="L147" s="58"/>
      <x:c r="M147" s="58"/>
      <x:c r="N147" s="58"/>
      <x:c r="O147" s="58"/>
      <x:c r="P147" s="58"/>
      <x:c r="Q147" s="58"/>
      <x:c r="R147" s="58"/>
      <x:c r="S147" s="58"/>
      <x:c r="T147" s="58"/>
      <x:c r="U147" s="58"/>
      <x:c r="V147" s="58"/>
      <x:c r="W147" s="58"/>
      <x:c r="X147" s="58"/>
      <x:c r="Y147" s="58"/>
      <x:c r="Z147" s="58"/>
    </x:row>
    <x:row r="148">
      <x:c r="A148" s="58"/>
      <x:c r="B148" s="58"/>
      <x:c r="C148" s="58"/>
      <x:c r="D148" s="58"/>
      <x:c r="E148" s="58"/>
      <x:c r="F148" s="58"/>
      <x:c r="G148" s="58"/>
      <x:c r="H148" s="58"/>
      <x:c r="I148" s="58"/>
      <x:c r="J148" s="58"/>
      <x:c r="K148" s="58"/>
      <x:c r="L148" s="58"/>
      <x:c r="M148" s="58"/>
      <x:c r="N148" s="58"/>
      <x:c r="O148" s="58"/>
      <x:c r="P148" s="58"/>
      <x:c r="Q148" s="58"/>
      <x:c r="R148" s="58"/>
      <x:c r="S148" s="58"/>
      <x:c r="T148" s="58"/>
      <x:c r="U148" s="58"/>
      <x:c r="V148" s="58"/>
      <x:c r="W148" s="58"/>
      <x:c r="X148" s="58"/>
      <x:c r="Y148" s="58"/>
      <x:c r="Z148" s="58"/>
    </x:row>
    <x:row r="149">
      <x:c r="A149" s="58"/>
      <x:c r="B149" s="58"/>
      <x:c r="C149" s="58"/>
      <x:c r="D149" s="58"/>
      <x:c r="E149" s="58"/>
      <x:c r="F149" s="58"/>
      <x:c r="G149" s="58"/>
      <x:c r="H149" s="58"/>
      <x:c r="I149" s="58"/>
      <x:c r="J149" s="58"/>
      <x:c r="K149" s="58"/>
      <x:c r="L149" s="58"/>
      <x:c r="M149" s="58"/>
      <x:c r="N149" s="58"/>
      <x:c r="O149" s="58"/>
      <x:c r="P149" s="58"/>
      <x:c r="Q149" s="58"/>
      <x:c r="R149" s="58"/>
      <x:c r="S149" s="58"/>
      <x:c r="T149" s="58"/>
      <x:c r="U149" s="58"/>
      <x:c r="V149" s="58"/>
      <x:c r="W149" s="58"/>
      <x:c r="X149" s="58"/>
      <x:c r="Y149" s="58"/>
      <x:c r="Z149" s="58"/>
    </x:row>
    <x:row r="150">
      <x:c r="A150" s="58"/>
      <x:c r="B150" s="58"/>
      <x:c r="C150" s="58"/>
      <x:c r="D150" s="58"/>
      <x:c r="E150" s="58"/>
      <x:c r="F150" s="58"/>
      <x:c r="G150" s="58"/>
      <x:c r="H150" s="58"/>
      <x:c r="I150" s="58"/>
      <x:c r="J150" s="58"/>
      <x:c r="K150" s="58"/>
      <x:c r="L150" s="58"/>
      <x:c r="M150" s="58"/>
      <x:c r="N150" s="58"/>
      <x:c r="O150" s="58"/>
      <x:c r="P150" s="58"/>
      <x:c r="Q150" s="58"/>
      <x:c r="R150" s="58"/>
      <x:c r="S150" s="58"/>
      <x:c r="T150" s="58"/>
      <x:c r="U150" s="58"/>
      <x:c r="V150" s="58"/>
      <x:c r="W150" s="58"/>
      <x:c r="X150" s="58"/>
      <x:c r="Y150" s="58"/>
      <x:c r="Z150" s="58"/>
    </x:row>
    <x:row r="151">
      <x:c r="A151" s="58"/>
      <x:c r="B151" s="58"/>
      <x:c r="C151" s="58"/>
      <x:c r="D151" s="58"/>
      <x:c r="E151" s="58"/>
      <x:c r="F151" s="58"/>
      <x:c r="G151" s="58"/>
      <x:c r="H151" s="58"/>
      <x:c r="I151" s="58"/>
      <x:c r="J151" s="58"/>
      <x:c r="K151" s="58"/>
      <x:c r="L151" s="58"/>
      <x:c r="M151" s="58"/>
      <x:c r="N151" s="58"/>
      <x:c r="O151" s="58"/>
      <x:c r="P151" s="58"/>
      <x:c r="Q151" s="58"/>
      <x:c r="R151" s="58"/>
      <x:c r="S151" s="58"/>
      <x:c r="T151" s="58"/>
      <x:c r="U151" s="58"/>
      <x:c r="V151" s="58"/>
      <x:c r="W151" s="58"/>
      <x:c r="X151" s="58"/>
      <x:c r="Y151" s="58"/>
      <x:c r="Z151" s="58"/>
    </x:row>
    <x:row r="152">
      <x:c r="A152" s="58"/>
      <x:c r="B152" s="58"/>
      <x:c r="C152" s="58"/>
      <x:c r="D152" s="58"/>
      <x:c r="E152" s="58"/>
      <x:c r="F152" s="58"/>
      <x:c r="G152" s="58"/>
      <x:c r="H152" s="58"/>
      <x:c r="I152" s="58"/>
      <x:c r="J152" s="58"/>
      <x:c r="K152" s="58"/>
      <x:c r="L152" s="58"/>
      <x:c r="M152" s="58"/>
      <x:c r="N152" s="58"/>
      <x:c r="O152" s="58"/>
      <x:c r="P152" s="58"/>
      <x:c r="Q152" s="58"/>
      <x:c r="R152" s="58"/>
      <x:c r="S152" s="58"/>
      <x:c r="T152" s="58"/>
      <x:c r="U152" s="58"/>
      <x:c r="V152" s="58"/>
      <x:c r="W152" s="58"/>
      <x:c r="X152" s="58"/>
      <x:c r="Y152" s="58"/>
      <x:c r="Z152" s="58"/>
    </x:row>
    <x:row r="153">
      <x:c r="A153" s="58"/>
      <x:c r="B153" s="58"/>
      <x:c r="C153" s="58"/>
      <x:c r="D153" s="58"/>
      <x:c r="E153" s="58"/>
      <x:c r="F153" s="58"/>
      <x:c r="G153" s="58"/>
      <x:c r="H153" s="58"/>
      <x:c r="I153" s="58"/>
      <x:c r="J153" s="58"/>
      <x:c r="K153" s="58"/>
      <x:c r="L153" s="58"/>
      <x:c r="M153" s="58"/>
      <x:c r="N153" s="58"/>
      <x:c r="O153" s="58"/>
      <x:c r="P153" s="58"/>
      <x:c r="Q153" s="58"/>
      <x:c r="R153" s="58"/>
      <x:c r="S153" s="58"/>
      <x:c r="T153" s="58"/>
      <x:c r="U153" s="58"/>
      <x:c r="V153" s="58"/>
      <x:c r="W153" s="58"/>
      <x:c r="X153" s="58"/>
      <x:c r="Y153" s="58"/>
      <x:c r="Z153" s="58"/>
    </x:row>
    <x:row r="154">
      <x:c r="A154" s="58"/>
      <x:c r="B154" s="58"/>
      <x:c r="C154" s="58"/>
      <x:c r="D154" s="58"/>
      <x:c r="E154" s="58"/>
      <x:c r="F154" s="58"/>
      <x:c r="G154" s="58"/>
      <x:c r="H154" s="58"/>
      <x:c r="I154" s="58"/>
      <x:c r="J154" s="58"/>
      <x:c r="K154" s="58"/>
      <x:c r="L154" s="58"/>
      <x:c r="M154" s="58"/>
      <x:c r="N154" s="58"/>
      <x:c r="O154" s="58"/>
      <x:c r="P154" s="58"/>
      <x:c r="Q154" s="58"/>
      <x:c r="R154" s="58"/>
      <x:c r="S154" s="58"/>
      <x:c r="T154" s="58"/>
      <x:c r="U154" s="58"/>
      <x:c r="V154" s="58"/>
      <x:c r="W154" s="58"/>
      <x:c r="X154" s="58"/>
      <x:c r="Y154" s="58"/>
      <x:c r="Z154" s="58"/>
    </x:row>
    <x:row r="155">
      <x:c r="A155" s="58"/>
      <x:c r="B155" s="58"/>
      <x:c r="C155" s="58"/>
      <x:c r="D155" s="58"/>
      <x:c r="E155" s="58"/>
      <x:c r="F155" s="58"/>
      <x:c r="G155" s="58"/>
      <x:c r="H155" s="58"/>
      <x:c r="I155" s="58"/>
      <x:c r="J155" s="58"/>
      <x:c r="K155" s="58"/>
      <x:c r="L155" s="58"/>
      <x:c r="M155" s="58"/>
      <x:c r="N155" s="58"/>
      <x:c r="O155" s="58"/>
      <x:c r="P155" s="58"/>
      <x:c r="Q155" s="58"/>
      <x:c r="R155" s="58"/>
      <x:c r="S155" s="58"/>
      <x:c r="T155" s="58"/>
      <x:c r="U155" s="58"/>
      <x:c r="V155" s="58"/>
      <x:c r="W155" s="58"/>
      <x:c r="X155" s="58"/>
      <x:c r="Y155" s="58"/>
      <x:c r="Z155" s="58"/>
    </x:row>
    <x:row r="156">
      <x:c r="A156" s="58"/>
      <x:c r="B156" s="58"/>
      <x:c r="C156" s="58"/>
      <x:c r="D156" s="58"/>
      <x:c r="E156" s="58"/>
      <x:c r="F156" s="58"/>
      <x:c r="G156" s="58"/>
      <x:c r="H156" s="58"/>
      <x:c r="I156" s="58"/>
      <x:c r="J156" s="58"/>
      <x:c r="K156" s="58"/>
      <x:c r="L156" s="58"/>
      <x:c r="M156" s="58"/>
      <x:c r="N156" s="58"/>
      <x:c r="O156" s="58"/>
      <x:c r="P156" s="58"/>
      <x:c r="Q156" s="58"/>
      <x:c r="R156" s="58"/>
      <x:c r="S156" s="58"/>
      <x:c r="T156" s="58"/>
      <x:c r="U156" s="58"/>
      <x:c r="V156" s="58"/>
      <x:c r="W156" s="58"/>
      <x:c r="X156" s="58"/>
      <x:c r="Y156" s="58"/>
      <x:c r="Z156" s="58"/>
    </x:row>
    <x:row r="157">
      <x:c r="A157" s="58"/>
      <x:c r="B157" s="58"/>
      <x:c r="C157" s="58"/>
      <x:c r="D157" s="58"/>
      <x:c r="E157" s="58"/>
      <x:c r="F157" s="58"/>
      <x:c r="G157" s="58"/>
      <x:c r="H157" s="58"/>
      <x:c r="I157" s="58"/>
      <x:c r="J157" s="58"/>
      <x:c r="K157" s="58"/>
      <x:c r="L157" s="58"/>
      <x:c r="M157" s="58"/>
      <x:c r="N157" s="58"/>
      <x:c r="O157" s="58"/>
      <x:c r="P157" s="58"/>
      <x:c r="Q157" s="58"/>
      <x:c r="R157" s="58"/>
      <x:c r="S157" s="58"/>
      <x:c r="T157" s="58"/>
      <x:c r="U157" s="58"/>
      <x:c r="V157" s="58"/>
      <x:c r="W157" s="58"/>
      <x:c r="X157" s="58"/>
      <x:c r="Y157" s="58"/>
      <x:c r="Z157" s="58"/>
    </x:row>
    <x:row r="158">
      <x:c r="A158" s="58"/>
      <x:c r="B158" s="58"/>
      <x:c r="C158" s="58"/>
      <x:c r="D158" s="58"/>
      <x:c r="E158" s="58"/>
      <x:c r="F158" s="58"/>
      <x:c r="G158" s="58"/>
      <x:c r="H158" s="58"/>
      <x:c r="I158" s="58"/>
      <x:c r="J158" s="58"/>
      <x:c r="K158" s="58"/>
      <x:c r="L158" s="58"/>
      <x:c r="M158" s="58"/>
      <x:c r="N158" s="58"/>
      <x:c r="O158" s="58"/>
      <x:c r="P158" s="58"/>
      <x:c r="Q158" s="58"/>
      <x:c r="R158" s="58"/>
      <x:c r="S158" s="58"/>
      <x:c r="T158" s="58"/>
      <x:c r="U158" s="58"/>
      <x:c r="V158" s="58"/>
      <x:c r="W158" s="58"/>
      <x:c r="X158" s="58"/>
      <x:c r="Y158" s="58"/>
      <x:c r="Z158" s="58"/>
    </x:row>
    <x:row r="159">
      <x:c r="A159" s="58"/>
      <x:c r="B159" s="58"/>
      <x:c r="C159" s="58"/>
      <x:c r="D159" s="58"/>
      <x:c r="E159" s="58"/>
      <x:c r="F159" s="58"/>
      <x:c r="G159" s="58"/>
      <x:c r="H159" s="58"/>
      <x:c r="I159" s="58"/>
      <x:c r="J159" s="58"/>
      <x:c r="K159" s="58"/>
      <x:c r="L159" s="58"/>
      <x:c r="M159" s="58"/>
      <x:c r="N159" s="58"/>
      <x:c r="O159" s="58"/>
      <x:c r="P159" s="58"/>
      <x:c r="Q159" s="58"/>
      <x:c r="R159" s="58"/>
      <x:c r="S159" s="58"/>
      <x:c r="T159" s="58"/>
      <x:c r="U159" s="58"/>
      <x:c r="V159" s="58"/>
      <x:c r="W159" s="58"/>
      <x:c r="X159" s="58"/>
      <x:c r="Y159" s="58"/>
      <x:c r="Z159" s="58"/>
    </x:row>
    <x:row r="160">
      <x:c r="A160" s="58"/>
      <x:c r="B160" s="58"/>
      <x:c r="C160" s="58"/>
      <x:c r="D160" s="58"/>
      <x:c r="E160" s="58"/>
      <x:c r="F160" s="58"/>
      <x:c r="G160" s="58"/>
      <x:c r="H160" s="58"/>
      <x:c r="I160" s="58"/>
      <x:c r="J160" s="58"/>
      <x:c r="K160" s="58"/>
      <x:c r="L160" s="58"/>
      <x:c r="M160" s="58"/>
      <x:c r="N160" s="58"/>
      <x:c r="O160" s="58"/>
      <x:c r="P160" s="58"/>
      <x:c r="Q160" s="58"/>
      <x:c r="R160" s="58"/>
      <x:c r="S160" s="58"/>
      <x:c r="T160" s="58"/>
      <x:c r="U160" s="58"/>
      <x:c r="V160" s="58"/>
      <x:c r="W160" s="58"/>
      <x:c r="X160" s="58"/>
      <x:c r="Y160" s="58"/>
      <x:c r="Z160" s="58"/>
    </x:row>
    <x:row r="161">
      <x:c r="A161" s="58"/>
      <x:c r="B161" s="58"/>
      <x:c r="C161" s="58"/>
      <x:c r="D161" s="58"/>
      <x:c r="E161" s="58"/>
      <x:c r="F161" s="58"/>
      <x:c r="G161" s="58"/>
      <x:c r="H161" s="58"/>
      <x:c r="I161" s="58"/>
      <x:c r="J161" s="58"/>
      <x:c r="K161" s="58"/>
      <x:c r="L161" s="58"/>
      <x:c r="M161" s="58"/>
      <x:c r="N161" s="58"/>
      <x:c r="O161" s="58"/>
      <x:c r="P161" s="58"/>
      <x:c r="Q161" s="58"/>
      <x:c r="R161" s="58"/>
      <x:c r="S161" s="58"/>
      <x:c r="T161" s="58"/>
      <x:c r="U161" s="58"/>
      <x:c r="V161" s="58"/>
      <x:c r="W161" s="58"/>
      <x:c r="X161" s="58"/>
      <x:c r="Y161" s="58"/>
      <x:c r="Z161" s="58"/>
    </x:row>
    <x:row r="162">
      <x:c r="A162" s="58"/>
      <x:c r="B162" s="58"/>
      <x:c r="C162" s="58"/>
      <x:c r="D162" s="58"/>
      <x:c r="E162" s="58"/>
      <x:c r="F162" s="58"/>
      <x:c r="G162" s="58"/>
      <x:c r="H162" s="58"/>
      <x:c r="I162" s="58"/>
      <x:c r="J162" s="58"/>
      <x:c r="K162" s="58"/>
      <x:c r="L162" s="58"/>
      <x:c r="M162" s="58"/>
      <x:c r="N162" s="58"/>
      <x:c r="O162" s="58"/>
      <x:c r="P162" s="58"/>
      <x:c r="Q162" s="58"/>
      <x:c r="R162" s="58"/>
      <x:c r="S162" s="58"/>
      <x:c r="T162" s="58"/>
      <x:c r="U162" s="58"/>
      <x:c r="V162" s="58"/>
      <x:c r="W162" s="58"/>
      <x:c r="X162" s="58"/>
      <x:c r="Y162" s="58"/>
      <x:c r="Z162" s="58"/>
    </x:row>
    <x:row r="163">
      <x:c r="A163" s="58"/>
      <x:c r="B163" s="58"/>
      <x:c r="C163" s="58"/>
      <x:c r="D163" s="58"/>
      <x:c r="E163" s="58"/>
      <x:c r="F163" s="58"/>
      <x:c r="G163" s="58"/>
      <x:c r="H163" s="58"/>
      <x:c r="I163" s="58"/>
      <x:c r="J163" s="58"/>
      <x:c r="K163" s="58"/>
      <x:c r="L163" s="58"/>
      <x:c r="M163" s="58"/>
      <x:c r="N163" s="58"/>
      <x:c r="O163" s="58"/>
      <x:c r="P163" s="58"/>
      <x:c r="Q163" s="58"/>
      <x:c r="R163" s="58"/>
      <x:c r="S163" s="58"/>
      <x:c r="T163" s="58"/>
      <x:c r="U163" s="58"/>
      <x:c r="V163" s="58"/>
      <x:c r="W163" s="58"/>
      <x:c r="X163" s="58"/>
      <x:c r="Y163" s="58"/>
      <x:c r="Z163" s="58"/>
    </x:row>
    <x:row r="164">
      <x:c r="A164" s="58"/>
      <x:c r="B164" s="58"/>
      <x:c r="C164" s="58"/>
      <x:c r="D164" s="58"/>
      <x:c r="E164" s="58"/>
      <x:c r="F164" s="58"/>
      <x:c r="G164" s="58"/>
      <x:c r="H164" s="58"/>
      <x:c r="I164" s="58"/>
      <x:c r="J164" s="58"/>
      <x:c r="K164" s="58"/>
      <x:c r="L164" s="58"/>
      <x:c r="M164" s="58"/>
      <x:c r="N164" s="58"/>
      <x:c r="O164" s="58"/>
      <x:c r="P164" s="58"/>
      <x:c r="Q164" s="58"/>
      <x:c r="R164" s="58"/>
      <x:c r="S164" s="58"/>
      <x:c r="T164" s="58"/>
      <x:c r="U164" s="58"/>
      <x:c r="V164" s="58"/>
      <x:c r="W164" s="58"/>
      <x:c r="X164" s="58"/>
      <x:c r="Y164" s="58"/>
      <x:c r="Z164" s="58"/>
    </x:row>
    <x:row r="165">
      <x:c r="A165" s="58"/>
      <x:c r="B165" s="58"/>
      <x:c r="C165" s="58"/>
      <x:c r="D165" s="58"/>
      <x:c r="E165" s="58"/>
      <x:c r="F165" s="58"/>
      <x:c r="G165" s="58"/>
      <x:c r="H165" s="58"/>
      <x:c r="I165" s="58"/>
      <x:c r="J165" s="58"/>
      <x:c r="K165" s="58"/>
      <x:c r="L165" s="58"/>
      <x:c r="M165" s="58"/>
      <x:c r="N165" s="58"/>
      <x:c r="O165" s="58"/>
      <x:c r="P165" s="58"/>
      <x:c r="Q165" s="58"/>
      <x:c r="R165" s="58"/>
      <x:c r="S165" s="58"/>
      <x:c r="T165" s="58"/>
      <x:c r="U165" s="58"/>
      <x:c r="V165" s="58"/>
      <x:c r="W165" s="58"/>
      <x:c r="X165" s="58"/>
      <x:c r="Y165" s="58"/>
      <x:c r="Z165" s="58"/>
    </x:row>
    <x:row r="166">
      <x:c r="A166" s="58"/>
      <x:c r="B166" s="58"/>
      <x:c r="C166" s="58"/>
      <x:c r="D166" s="58"/>
      <x:c r="E166" s="58"/>
      <x:c r="F166" s="58"/>
      <x:c r="G166" s="58"/>
      <x:c r="H166" s="58"/>
      <x:c r="I166" s="58"/>
      <x:c r="J166" s="58"/>
      <x:c r="K166" s="58"/>
      <x:c r="L166" s="58"/>
      <x:c r="M166" s="58"/>
      <x:c r="N166" s="58"/>
      <x:c r="O166" s="58"/>
      <x:c r="P166" s="58"/>
      <x:c r="Q166" s="58"/>
      <x:c r="R166" s="58"/>
      <x:c r="S166" s="58"/>
      <x:c r="T166" s="58"/>
      <x:c r="U166" s="58"/>
      <x:c r="V166" s="58"/>
      <x:c r="W166" s="58"/>
      <x:c r="X166" s="58"/>
      <x:c r="Y166" s="58"/>
      <x:c r="Z166" s="58"/>
    </x:row>
    <x:row r="167">
      <x:c r="A167" s="58"/>
      <x:c r="B167" s="58"/>
      <x:c r="C167" s="58"/>
      <x:c r="D167" s="58"/>
      <x:c r="E167" s="58"/>
      <x:c r="F167" s="58"/>
      <x:c r="G167" s="58"/>
      <x:c r="H167" s="58"/>
      <x:c r="I167" s="58"/>
      <x:c r="J167" s="58"/>
      <x:c r="K167" s="58"/>
      <x:c r="L167" s="58"/>
      <x:c r="M167" s="58"/>
      <x:c r="N167" s="58"/>
      <x:c r="O167" s="58"/>
      <x:c r="P167" s="58"/>
      <x:c r="Q167" s="58"/>
      <x:c r="R167" s="58"/>
      <x:c r="S167" s="58"/>
      <x:c r="T167" s="58"/>
      <x:c r="U167" s="58"/>
      <x:c r="V167" s="58"/>
      <x:c r="W167" s="58"/>
      <x:c r="X167" s="58"/>
      <x:c r="Y167" s="58"/>
      <x:c r="Z167" s="58"/>
    </x:row>
    <x:row r="168">
      <x:c r="A168" s="58"/>
      <x:c r="B168" s="58"/>
      <x:c r="C168" s="58"/>
      <x:c r="D168" s="58"/>
      <x:c r="E168" s="58"/>
      <x:c r="F168" s="58"/>
      <x:c r="G168" s="58"/>
      <x:c r="H168" s="58"/>
      <x:c r="I168" s="58"/>
      <x:c r="J168" s="58"/>
      <x:c r="K168" s="58"/>
      <x:c r="L168" s="58"/>
      <x:c r="M168" s="58"/>
      <x:c r="N168" s="58"/>
      <x:c r="O168" s="58"/>
      <x:c r="P168" s="58"/>
      <x:c r="Q168" s="58"/>
      <x:c r="R168" s="58"/>
      <x:c r="S168" s="58"/>
      <x:c r="T168" s="58"/>
      <x:c r="U168" s="58"/>
      <x:c r="V168" s="58"/>
      <x:c r="W168" s="58"/>
      <x:c r="X168" s="58"/>
      <x:c r="Y168" s="58"/>
      <x:c r="Z168" s="58"/>
    </x:row>
    <x:row r="169">
      <x:c r="A169" s="58"/>
      <x:c r="B169" s="58"/>
      <x:c r="C169" s="58"/>
      <x:c r="D169" s="58"/>
      <x:c r="E169" s="58"/>
      <x:c r="F169" s="58"/>
      <x:c r="G169" s="58"/>
      <x:c r="H169" s="58"/>
      <x:c r="I169" s="58"/>
      <x:c r="J169" s="58"/>
      <x:c r="K169" s="58"/>
      <x:c r="L169" s="58"/>
      <x:c r="M169" s="58"/>
      <x:c r="N169" s="58"/>
      <x:c r="O169" s="58"/>
      <x:c r="P169" s="58"/>
      <x:c r="Q169" s="58"/>
      <x:c r="R169" s="58"/>
      <x:c r="S169" s="58"/>
      <x:c r="T169" s="58"/>
      <x:c r="U169" s="58"/>
      <x:c r="V169" s="58"/>
      <x:c r="W169" s="58"/>
      <x:c r="X169" s="58"/>
      <x:c r="Y169" s="58"/>
      <x:c r="Z169" s="58"/>
    </x:row>
    <x:row r="170">
      <x:c r="A170" s="58"/>
      <x:c r="B170" s="58"/>
      <x:c r="C170" s="58"/>
      <x:c r="D170" s="58"/>
      <x:c r="E170" s="58"/>
      <x:c r="F170" s="58"/>
      <x:c r="G170" s="58"/>
      <x:c r="H170" s="58"/>
      <x:c r="I170" s="58"/>
      <x:c r="J170" s="58"/>
      <x:c r="K170" s="58"/>
      <x:c r="L170" s="58"/>
      <x:c r="M170" s="58"/>
      <x:c r="N170" s="58"/>
      <x:c r="O170" s="58"/>
      <x:c r="P170" s="58"/>
      <x:c r="Q170" s="58"/>
      <x:c r="R170" s="58"/>
      <x:c r="S170" s="58"/>
      <x:c r="T170" s="58"/>
      <x:c r="U170" s="58"/>
      <x:c r="V170" s="58"/>
      <x:c r="W170" s="58"/>
      <x:c r="X170" s="58"/>
      <x:c r="Y170" s="58"/>
      <x:c r="Z170" s="58"/>
    </x:row>
    <x:row r="171">
      <x:c r="A171" s="58"/>
      <x:c r="B171" s="58"/>
      <x:c r="C171" s="58"/>
      <x:c r="D171" s="58"/>
      <x:c r="E171" s="58"/>
      <x:c r="F171" s="58"/>
      <x:c r="G171" s="58"/>
      <x:c r="H171" s="58"/>
      <x:c r="I171" s="58"/>
      <x:c r="J171" s="58"/>
      <x:c r="K171" s="58"/>
      <x:c r="L171" s="58"/>
      <x:c r="M171" s="58"/>
      <x:c r="N171" s="58"/>
      <x:c r="O171" s="58"/>
      <x:c r="P171" s="58"/>
      <x:c r="Q171" s="58"/>
      <x:c r="R171" s="58"/>
      <x:c r="S171" s="58"/>
      <x:c r="T171" s="58"/>
      <x:c r="U171" s="58"/>
      <x:c r="V171" s="58"/>
      <x:c r="W171" s="58"/>
      <x:c r="X171" s="58"/>
      <x:c r="Y171" s="58"/>
      <x:c r="Z171" s="58"/>
    </x:row>
    <x:row r="172">
      <x:c r="A172" s="58"/>
      <x:c r="B172" s="58"/>
      <x:c r="C172" s="58"/>
      <x:c r="D172" s="58"/>
      <x:c r="E172" s="58"/>
      <x:c r="F172" s="58"/>
      <x:c r="G172" s="58"/>
      <x:c r="H172" s="58"/>
      <x:c r="I172" s="58"/>
      <x:c r="J172" s="58"/>
      <x:c r="K172" s="58"/>
      <x:c r="L172" s="58"/>
      <x:c r="M172" s="58"/>
      <x:c r="N172" s="58"/>
      <x:c r="O172" s="58"/>
      <x:c r="P172" s="58"/>
      <x:c r="Q172" s="58"/>
      <x:c r="R172" s="58"/>
      <x:c r="S172" s="58"/>
      <x:c r="T172" s="58"/>
      <x:c r="U172" s="58"/>
      <x:c r="V172" s="58"/>
      <x:c r="W172" s="58"/>
      <x:c r="X172" s="58"/>
      <x:c r="Y172" s="58"/>
      <x:c r="Z172" s="58"/>
    </x:row>
    <x:row r="173">
      <x:c r="A173" s="58"/>
      <x:c r="B173" s="58"/>
      <x:c r="C173" s="58"/>
      <x:c r="D173" s="58"/>
      <x:c r="E173" s="58"/>
      <x:c r="F173" s="58"/>
      <x:c r="G173" s="58"/>
      <x:c r="H173" s="58"/>
      <x:c r="I173" s="58"/>
      <x:c r="J173" s="58"/>
      <x:c r="K173" s="58"/>
      <x:c r="L173" s="58"/>
      <x:c r="M173" s="58"/>
      <x:c r="N173" s="58"/>
      <x:c r="O173" s="58"/>
      <x:c r="P173" s="58"/>
      <x:c r="Q173" s="58"/>
      <x:c r="R173" s="58"/>
      <x:c r="S173" s="58"/>
      <x:c r="T173" s="58"/>
      <x:c r="U173" s="58"/>
      <x:c r="V173" s="58"/>
      <x:c r="W173" s="58"/>
      <x:c r="X173" s="58"/>
      <x:c r="Y173" s="58"/>
      <x:c r="Z173" s="58"/>
    </x:row>
    <x:row r="174">
      <x:c r="A174" s="58"/>
      <x:c r="B174" s="58"/>
      <x:c r="C174" s="58"/>
      <x:c r="D174" s="58"/>
      <x:c r="E174" s="58"/>
      <x:c r="F174" s="58"/>
      <x:c r="G174" s="58"/>
      <x:c r="H174" s="58"/>
      <x:c r="I174" s="58"/>
      <x:c r="J174" s="58"/>
      <x:c r="K174" s="58"/>
      <x:c r="L174" s="58"/>
      <x:c r="M174" s="58"/>
      <x:c r="N174" s="58"/>
      <x:c r="O174" s="58"/>
      <x:c r="P174" s="58"/>
      <x:c r="Q174" s="58"/>
      <x:c r="R174" s="58"/>
      <x:c r="S174" s="58"/>
      <x:c r="T174" s="58"/>
      <x:c r="U174" s="58"/>
      <x:c r="V174" s="58"/>
      <x:c r="W174" s="58"/>
      <x:c r="X174" s="58"/>
      <x:c r="Y174" s="58"/>
      <x:c r="Z174" s="58"/>
    </x:row>
    <x:row r="175">
      <x:c r="A175" s="58"/>
      <x:c r="B175" s="58"/>
      <x:c r="C175" s="58"/>
      <x:c r="D175" s="58"/>
      <x:c r="E175" s="58"/>
      <x:c r="F175" s="58"/>
      <x:c r="G175" s="58"/>
      <x:c r="H175" s="58"/>
      <x:c r="I175" s="58"/>
      <x:c r="J175" s="58"/>
      <x:c r="K175" s="58"/>
      <x:c r="L175" s="58"/>
      <x:c r="M175" s="58"/>
      <x:c r="N175" s="58"/>
      <x:c r="O175" s="58"/>
      <x:c r="P175" s="58"/>
      <x:c r="Q175" s="58"/>
      <x:c r="R175" s="58"/>
      <x:c r="S175" s="58"/>
      <x:c r="T175" s="58"/>
      <x:c r="U175" s="58"/>
      <x:c r="V175" s="58"/>
      <x:c r="W175" s="58"/>
      <x:c r="X175" s="58"/>
      <x:c r="Y175" s="58"/>
      <x:c r="Z175" s="58"/>
    </x:row>
    <x:row r="176">
      <x:c r="A176" s="58"/>
      <x:c r="B176" s="58"/>
      <x:c r="C176" s="58"/>
      <x:c r="D176" s="58"/>
      <x:c r="E176" s="58"/>
      <x:c r="F176" s="58"/>
      <x:c r="G176" s="58"/>
      <x:c r="H176" s="58"/>
      <x:c r="I176" s="58"/>
      <x:c r="J176" s="58"/>
      <x:c r="K176" s="58"/>
      <x:c r="L176" s="58"/>
      <x:c r="M176" s="58"/>
      <x:c r="N176" s="58"/>
      <x:c r="O176" s="58"/>
      <x:c r="P176" s="58"/>
      <x:c r="Q176" s="58"/>
      <x:c r="R176" s="58"/>
      <x:c r="S176" s="58"/>
      <x:c r="T176" s="58"/>
      <x:c r="U176" s="58"/>
      <x:c r="V176" s="58"/>
      <x:c r="W176" s="58"/>
      <x:c r="X176" s="58"/>
      <x:c r="Y176" s="58"/>
      <x:c r="Z176" s="58"/>
    </x:row>
    <x:row r="177">
      <x:c r="A177" s="58"/>
      <x:c r="B177" s="58"/>
      <x:c r="C177" s="58"/>
      <x:c r="D177" s="58"/>
      <x:c r="E177" s="58"/>
      <x:c r="F177" s="58"/>
      <x:c r="G177" s="58"/>
      <x:c r="H177" s="58"/>
      <x:c r="I177" s="58"/>
      <x:c r="J177" s="58"/>
      <x:c r="K177" s="58"/>
      <x:c r="L177" s="58"/>
      <x:c r="M177" s="58"/>
      <x:c r="N177" s="58"/>
      <x:c r="O177" s="58"/>
      <x:c r="P177" s="58"/>
      <x:c r="Q177" s="58"/>
      <x:c r="R177" s="58"/>
      <x:c r="S177" s="58"/>
      <x:c r="T177" s="58"/>
      <x:c r="U177" s="58"/>
      <x:c r="V177" s="58"/>
      <x:c r="W177" s="58"/>
      <x:c r="X177" s="58"/>
      <x:c r="Y177" s="58"/>
      <x:c r="Z177" s="58"/>
    </x:row>
    <x:row r="178">
      <x:c r="A178" s="58"/>
      <x:c r="B178" s="58"/>
      <x:c r="C178" s="58"/>
      <x:c r="D178" s="58"/>
      <x:c r="E178" s="58"/>
      <x:c r="F178" s="58"/>
      <x:c r="G178" s="58"/>
      <x:c r="H178" s="58"/>
      <x:c r="I178" s="58"/>
      <x:c r="J178" s="58"/>
      <x:c r="K178" s="58"/>
      <x:c r="L178" s="58"/>
      <x:c r="M178" s="58"/>
      <x:c r="N178" s="58"/>
      <x:c r="O178" s="58"/>
      <x:c r="P178" s="58"/>
      <x:c r="Q178" s="58"/>
      <x:c r="R178" s="58"/>
      <x:c r="S178" s="58"/>
      <x:c r="T178" s="58"/>
      <x:c r="U178" s="58"/>
      <x:c r="V178" s="58"/>
      <x:c r="W178" s="58"/>
      <x:c r="X178" s="58"/>
      <x:c r="Y178" s="58"/>
      <x:c r="Z178" s="58"/>
    </x:row>
    <x:row r="179">
      <x:c r="A179" s="58"/>
      <x:c r="B179" s="58"/>
      <x:c r="C179" s="58"/>
      <x:c r="D179" s="58"/>
      <x:c r="E179" s="58"/>
      <x:c r="F179" s="58"/>
      <x:c r="G179" s="58"/>
      <x:c r="H179" s="58"/>
      <x:c r="I179" s="58"/>
      <x:c r="J179" s="58"/>
      <x:c r="K179" s="58"/>
      <x:c r="L179" s="58"/>
      <x:c r="M179" s="58"/>
      <x:c r="N179" s="58"/>
      <x:c r="O179" s="58"/>
      <x:c r="P179" s="58"/>
      <x:c r="Q179" s="58"/>
      <x:c r="R179" s="58"/>
      <x:c r="S179" s="58"/>
      <x:c r="T179" s="58"/>
      <x:c r="U179" s="58"/>
      <x:c r="V179" s="58"/>
      <x:c r="W179" s="58"/>
      <x:c r="X179" s="58"/>
      <x:c r="Y179" s="58"/>
      <x:c r="Z179" s="58"/>
    </x:row>
    <x:row r="180">
      <x:c r="A180" s="58"/>
      <x:c r="B180" s="58"/>
      <x:c r="C180" s="58"/>
      <x:c r="D180" s="58"/>
      <x:c r="E180" s="58"/>
      <x:c r="F180" s="58"/>
      <x:c r="G180" s="58"/>
      <x:c r="H180" s="58"/>
      <x:c r="I180" s="58"/>
      <x:c r="J180" s="58"/>
      <x:c r="K180" s="58"/>
      <x:c r="L180" s="58"/>
      <x:c r="M180" s="58"/>
      <x:c r="N180" s="58"/>
      <x:c r="O180" s="58"/>
      <x:c r="P180" s="58"/>
      <x:c r="Q180" s="58"/>
      <x:c r="R180" s="58"/>
      <x:c r="S180" s="58"/>
      <x:c r="T180" s="58"/>
      <x:c r="U180" s="58"/>
      <x:c r="V180" s="58"/>
      <x:c r="W180" s="58"/>
      <x:c r="X180" s="58"/>
      <x:c r="Y180" s="58"/>
      <x:c r="Z180" s="58"/>
    </x:row>
    <x:row r="181">
      <x:c r="A181" s="58"/>
      <x:c r="B181" s="58"/>
      <x:c r="C181" s="58"/>
      <x:c r="D181" s="58"/>
      <x:c r="E181" s="58"/>
      <x:c r="F181" s="58"/>
      <x:c r="G181" s="58"/>
      <x:c r="H181" s="58"/>
      <x:c r="I181" s="58"/>
      <x:c r="J181" s="58"/>
      <x:c r="K181" s="58"/>
      <x:c r="L181" s="58"/>
      <x:c r="M181" s="58"/>
      <x:c r="N181" s="58"/>
      <x:c r="O181" s="58"/>
      <x:c r="P181" s="58"/>
      <x:c r="Q181" s="58"/>
      <x:c r="R181" s="58"/>
      <x:c r="S181" s="58"/>
      <x:c r="T181" s="58"/>
      <x:c r="U181" s="58"/>
      <x:c r="V181" s="58"/>
      <x:c r="W181" s="58"/>
      <x:c r="X181" s="58"/>
      <x:c r="Y181" s="58"/>
      <x:c r="Z181" s="58"/>
    </x:row>
    <x:row r="182">
      <x:c r="A182" s="58"/>
      <x:c r="B182" s="58"/>
      <x:c r="C182" s="58"/>
      <x:c r="D182" s="58"/>
      <x:c r="E182" s="58"/>
      <x:c r="F182" s="58"/>
      <x:c r="G182" s="58"/>
      <x:c r="H182" s="58"/>
      <x:c r="I182" s="58"/>
      <x:c r="J182" s="58"/>
      <x:c r="K182" s="58"/>
      <x:c r="L182" s="58"/>
      <x:c r="M182" s="58"/>
      <x:c r="N182" s="58"/>
      <x:c r="O182" s="58"/>
      <x:c r="P182" s="58"/>
      <x:c r="Q182" s="58"/>
      <x:c r="R182" s="58"/>
      <x:c r="S182" s="58"/>
      <x:c r="T182" s="58"/>
      <x:c r="U182" s="58"/>
      <x:c r="V182" s="58"/>
      <x:c r="W182" s="58"/>
      <x:c r="X182" s="58"/>
      <x:c r="Y182" s="58"/>
      <x:c r="Z182" s="58"/>
    </x:row>
    <x:row r="183">
      <x:c r="A183" s="58"/>
      <x:c r="B183" s="58"/>
      <x:c r="C183" s="58"/>
      <x:c r="D183" s="58"/>
      <x:c r="E183" s="58"/>
      <x:c r="F183" s="58"/>
      <x:c r="G183" s="58"/>
      <x:c r="H183" s="58"/>
      <x:c r="I183" s="58"/>
      <x:c r="J183" s="58"/>
      <x:c r="K183" s="58"/>
      <x:c r="L183" s="58"/>
      <x:c r="M183" s="58"/>
      <x:c r="N183" s="58"/>
      <x:c r="O183" s="58"/>
      <x:c r="P183" s="58"/>
      <x:c r="Q183" s="58"/>
      <x:c r="R183" s="58"/>
      <x:c r="S183" s="58"/>
      <x:c r="T183" s="58"/>
      <x:c r="U183" s="58"/>
      <x:c r="V183" s="58"/>
      <x:c r="W183" s="58"/>
      <x:c r="X183" s="58"/>
      <x:c r="Y183" s="58"/>
      <x:c r="Z183" s="58"/>
    </x:row>
    <x:row r="184">
      <x:c r="A184" s="58"/>
      <x:c r="B184" s="58"/>
      <x:c r="C184" s="58"/>
      <x:c r="D184" s="58"/>
      <x:c r="E184" s="58"/>
      <x:c r="F184" s="58"/>
      <x:c r="G184" s="58"/>
      <x:c r="H184" s="58"/>
      <x:c r="I184" s="58"/>
      <x:c r="J184" s="58"/>
      <x:c r="K184" s="58"/>
      <x:c r="L184" s="58"/>
      <x:c r="M184" s="58"/>
      <x:c r="N184" s="58"/>
      <x:c r="O184" s="58"/>
      <x:c r="P184" s="58"/>
      <x:c r="Q184" s="58"/>
      <x:c r="R184" s="58"/>
      <x:c r="S184" s="58"/>
      <x:c r="T184" s="58"/>
      <x:c r="U184" s="58"/>
      <x:c r="V184" s="58"/>
      <x:c r="W184" s="58"/>
      <x:c r="X184" s="58"/>
      <x:c r="Y184" s="58"/>
      <x:c r="Z184" s="58"/>
    </x:row>
    <x:row r="185">
      <x:c r="A185" s="58"/>
      <x:c r="B185" s="58"/>
      <x:c r="C185" s="58"/>
      <x:c r="D185" s="58"/>
      <x:c r="E185" s="58"/>
      <x:c r="F185" s="58"/>
      <x:c r="G185" s="58"/>
      <x:c r="H185" s="58"/>
      <x:c r="I185" s="58"/>
      <x:c r="J185" s="58"/>
      <x:c r="K185" s="58"/>
      <x:c r="L185" s="58"/>
      <x:c r="M185" s="58"/>
      <x:c r="N185" s="58"/>
      <x:c r="O185" s="58"/>
      <x:c r="P185" s="58"/>
      <x:c r="Q185" s="58"/>
      <x:c r="R185" s="58"/>
      <x:c r="S185" s="58"/>
      <x:c r="T185" s="58"/>
      <x:c r="U185" s="58"/>
      <x:c r="V185" s="58"/>
      <x:c r="W185" s="58"/>
      <x:c r="X185" s="58"/>
      <x:c r="Y185" s="58"/>
      <x:c r="Z185" s="58"/>
    </x:row>
    <x:row r="186">
      <x:c r="A186" s="58"/>
      <x:c r="B186" s="58"/>
      <x:c r="C186" s="58"/>
      <x:c r="D186" s="58"/>
      <x:c r="E186" s="58"/>
      <x:c r="F186" s="58"/>
      <x:c r="G186" s="58"/>
      <x:c r="H186" s="58"/>
      <x:c r="I186" s="58"/>
      <x:c r="J186" s="58"/>
      <x:c r="K186" s="58"/>
      <x:c r="L186" s="58"/>
      <x:c r="M186" s="58"/>
      <x:c r="N186" s="58"/>
      <x:c r="O186" s="58"/>
      <x:c r="P186" s="58"/>
      <x:c r="Q186" s="58"/>
      <x:c r="R186" s="58"/>
      <x:c r="S186" s="58"/>
      <x:c r="T186" s="58"/>
      <x:c r="U186" s="58"/>
      <x:c r="V186" s="58"/>
      <x:c r="W186" s="58"/>
      <x:c r="X186" s="58"/>
      <x:c r="Y186" s="58"/>
      <x:c r="Z186" s="58"/>
    </x:row>
    <x:row r="187">
      <x:c r="A187" s="58"/>
      <x:c r="B187" s="58"/>
      <x:c r="C187" s="58"/>
      <x:c r="D187" s="58"/>
      <x:c r="E187" s="58"/>
      <x:c r="F187" s="58"/>
      <x:c r="G187" s="58"/>
      <x:c r="H187" s="58"/>
      <x:c r="I187" s="58"/>
      <x:c r="J187" s="58"/>
      <x:c r="K187" s="58"/>
      <x:c r="L187" s="58"/>
      <x:c r="M187" s="58"/>
      <x:c r="N187" s="58"/>
      <x:c r="O187" s="58"/>
      <x:c r="P187" s="58"/>
      <x:c r="Q187" s="58"/>
      <x:c r="R187" s="58"/>
      <x:c r="S187" s="58"/>
      <x:c r="T187" s="58"/>
      <x:c r="U187" s="58"/>
      <x:c r="V187" s="58"/>
      <x:c r="W187" s="58"/>
      <x:c r="X187" s="58"/>
      <x:c r="Y187" s="58"/>
      <x:c r="Z187" s="58"/>
    </x:row>
    <x:row r="188">
      <x:c r="A188" s="58"/>
      <x:c r="B188" s="58"/>
      <x:c r="C188" s="58"/>
      <x:c r="D188" s="58"/>
      <x:c r="E188" s="58"/>
      <x:c r="F188" s="58"/>
      <x:c r="G188" s="58"/>
      <x:c r="H188" s="58"/>
      <x:c r="I188" s="58"/>
      <x:c r="J188" s="58"/>
      <x:c r="K188" s="58"/>
      <x:c r="L188" s="58"/>
      <x:c r="M188" s="58"/>
      <x:c r="N188" s="58"/>
      <x:c r="O188" s="58"/>
      <x:c r="P188" s="58"/>
      <x:c r="Q188" s="58"/>
      <x:c r="R188" s="58"/>
      <x:c r="S188" s="58"/>
      <x:c r="T188" s="58"/>
      <x:c r="U188" s="58"/>
      <x:c r="V188" s="58"/>
      <x:c r="W188" s="58"/>
      <x:c r="X188" s="58"/>
      <x:c r="Y188" s="58"/>
      <x:c r="Z188" s="58"/>
    </x:row>
    <x:row r="189">
      <x:c r="A189" s="58"/>
      <x:c r="B189" s="58"/>
      <x:c r="C189" s="58"/>
      <x:c r="D189" s="58"/>
      <x:c r="E189" s="58"/>
      <x:c r="F189" s="58"/>
      <x:c r="G189" s="58"/>
      <x:c r="H189" s="58"/>
      <x:c r="I189" s="58"/>
      <x:c r="J189" s="58"/>
      <x:c r="K189" s="58"/>
      <x:c r="L189" s="58"/>
      <x:c r="M189" s="58"/>
      <x:c r="N189" s="58"/>
      <x:c r="O189" s="58"/>
      <x:c r="P189" s="58"/>
      <x:c r="Q189" s="58"/>
      <x:c r="R189" s="58"/>
      <x:c r="S189" s="58"/>
      <x:c r="T189" s="58"/>
      <x:c r="U189" s="58"/>
      <x:c r="V189" s="58"/>
      <x:c r="W189" s="58"/>
      <x:c r="X189" s="58"/>
      <x:c r="Y189" s="58"/>
      <x:c r="Z189" s="58"/>
    </x:row>
    <x:row r="190">
      <x:c r="A190" s="58"/>
      <x:c r="B190" s="58"/>
      <x:c r="C190" s="58"/>
      <x:c r="D190" s="58"/>
      <x:c r="E190" s="58"/>
      <x:c r="F190" s="58"/>
      <x:c r="G190" s="58"/>
      <x:c r="H190" s="58"/>
      <x:c r="I190" s="58"/>
      <x:c r="J190" s="58"/>
      <x:c r="K190" s="58"/>
      <x:c r="L190" s="58"/>
      <x:c r="M190" s="58"/>
      <x:c r="N190" s="58"/>
      <x:c r="O190" s="58"/>
      <x:c r="P190" s="58"/>
      <x:c r="Q190" s="58"/>
      <x:c r="R190" s="58"/>
      <x:c r="S190" s="58"/>
      <x:c r="T190" s="58"/>
      <x:c r="U190" s="58"/>
      <x:c r="V190" s="58"/>
      <x:c r="W190" s="58"/>
      <x:c r="X190" s="58"/>
      <x:c r="Y190" s="58"/>
      <x:c r="Z190" s="58"/>
    </x:row>
    <x:row r="191">
      <x:c r="A191" s="58"/>
      <x:c r="B191" s="58"/>
      <x:c r="C191" s="58"/>
      <x:c r="D191" s="58"/>
      <x:c r="E191" s="58"/>
      <x:c r="F191" s="58"/>
      <x:c r="G191" s="58"/>
      <x:c r="H191" s="58"/>
      <x:c r="I191" s="58"/>
      <x:c r="J191" s="58"/>
      <x:c r="K191" s="58"/>
      <x:c r="L191" s="58"/>
      <x:c r="M191" s="58"/>
      <x:c r="N191" s="58"/>
      <x:c r="O191" s="58"/>
      <x:c r="P191" s="58"/>
      <x:c r="Q191" s="58"/>
      <x:c r="R191" s="58"/>
      <x:c r="S191" s="58"/>
      <x:c r="T191" s="58"/>
      <x:c r="U191" s="58"/>
      <x:c r="V191" s="58"/>
      <x:c r="W191" s="58"/>
      <x:c r="X191" s="58"/>
      <x:c r="Y191" s="58"/>
      <x:c r="Z191" s="58"/>
    </x:row>
    <x:row r="192">
      <x:c r="A192" s="58"/>
      <x:c r="B192" s="58"/>
      <x:c r="C192" s="58"/>
      <x:c r="D192" s="58"/>
      <x:c r="E192" s="58"/>
      <x:c r="F192" s="58"/>
      <x:c r="G192" s="58"/>
      <x:c r="H192" s="58"/>
      <x:c r="I192" s="58"/>
      <x:c r="J192" s="58"/>
      <x:c r="K192" s="58"/>
      <x:c r="L192" s="58"/>
      <x:c r="M192" s="58"/>
      <x:c r="N192" s="58"/>
      <x:c r="O192" s="58"/>
      <x:c r="P192" s="58"/>
      <x:c r="Q192" s="58"/>
      <x:c r="R192" s="58"/>
      <x:c r="S192" s="58"/>
      <x:c r="T192" s="58"/>
      <x:c r="U192" s="58"/>
      <x:c r="V192" s="58"/>
      <x:c r="W192" s="58"/>
      <x:c r="X192" s="58"/>
      <x:c r="Y192" s="58"/>
      <x:c r="Z192" s="58"/>
    </x:row>
    <x:row r="193">
      <x:c r="A193" s="58"/>
      <x:c r="B193" s="58"/>
      <x:c r="C193" s="58"/>
      <x:c r="D193" s="58"/>
      <x:c r="E193" s="58"/>
      <x:c r="F193" s="58"/>
      <x:c r="G193" s="58"/>
      <x:c r="H193" s="58"/>
      <x:c r="I193" s="58"/>
      <x:c r="J193" s="58"/>
      <x:c r="K193" s="58"/>
      <x:c r="L193" s="58"/>
      <x:c r="M193" s="58"/>
      <x:c r="N193" s="58"/>
      <x:c r="O193" s="58"/>
      <x:c r="P193" s="58"/>
      <x:c r="Q193" s="58"/>
      <x:c r="R193" s="58"/>
      <x:c r="S193" s="58"/>
      <x:c r="T193" s="58"/>
      <x:c r="U193" s="58"/>
      <x:c r="V193" s="58"/>
      <x:c r="W193" s="58"/>
      <x:c r="X193" s="58"/>
      <x:c r="Y193" s="58"/>
      <x:c r="Z193" s="58"/>
    </x:row>
    <x:row r="194">
      <x:c r="A194" s="58"/>
      <x:c r="B194" s="58"/>
      <x:c r="C194" s="58"/>
      <x:c r="D194" s="58"/>
      <x:c r="E194" s="58"/>
      <x:c r="F194" s="58"/>
      <x:c r="G194" s="58"/>
      <x:c r="H194" s="58"/>
      <x:c r="I194" s="58"/>
      <x:c r="J194" s="58"/>
      <x:c r="K194" s="58"/>
      <x:c r="L194" s="58"/>
      <x:c r="M194" s="58"/>
      <x:c r="N194" s="58"/>
      <x:c r="O194" s="58"/>
      <x:c r="P194" s="58"/>
      <x:c r="Q194" s="58"/>
      <x:c r="R194" s="58"/>
      <x:c r="S194" s="58"/>
      <x:c r="T194" s="58"/>
      <x:c r="U194" s="58"/>
      <x:c r="V194" s="58"/>
      <x:c r="W194" s="58"/>
      <x:c r="X194" s="58"/>
      <x:c r="Y194" s="58"/>
      <x:c r="Z194" s="58"/>
    </x:row>
    <x:row r="195">
      <x:c r="A195" s="58"/>
      <x:c r="B195" s="58"/>
      <x:c r="C195" s="58"/>
      <x:c r="D195" s="58"/>
      <x:c r="E195" s="58"/>
      <x:c r="F195" s="58"/>
      <x:c r="G195" s="58"/>
      <x:c r="H195" s="58"/>
      <x:c r="I195" s="58"/>
      <x:c r="J195" s="58"/>
      <x:c r="K195" s="58"/>
      <x:c r="L195" s="58"/>
      <x:c r="M195" s="58"/>
      <x:c r="N195" s="58"/>
      <x:c r="O195" s="58"/>
      <x:c r="P195" s="58"/>
      <x:c r="Q195" s="58"/>
      <x:c r="R195" s="58"/>
      <x:c r="S195" s="58"/>
      <x:c r="T195" s="58"/>
      <x:c r="U195" s="58"/>
      <x:c r="V195" s="58"/>
      <x:c r="W195" s="58"/>
      <x:c r="X195" s="58"/>
      <x:c r="Y195" s="58"/>
      <x:c r="Z195" s="58"/>
    </x:row>
    <x:row r="196">
      <x:c r="A196" s="58"/>
      <x:c r="B196" s="58"/>
      <x:c r="C196" s="58"/>
      <x:c r="D196" s="58"/>
      <x:c r="E196" s="58"/>
      <x:c r="F196" s="58"/>
      <x:c r="G196" s="58"/>
      <x:c r="H196" s="58"/>
      <x:c r="I196" s="58"/>
      <x:c r="J196" s="58"/>
      <x:c r="K196" s="58"/>
      <x:c r="L196" s="58"/>
      <x:c r="M196" s="58"/>
      <x:c r="N196" s="58"/>
      <x:c r="O196" s="58"/>
      <x:c r="P196" s="58"/>
      <x:c r="Q196" s="58"/>
      <x:c r="R196" s="58"/>
      <x:c r="S196" s="58"/>
      <x:c r="T196" s="58"/>
      <x:c r="U196" s="58"/>
      <x:c r="V196" s="58"/>
      <x:c r="W196" s="58"/>
      <x:c r="X196" s="58"/>
      <x:c r="Y196" s="58"/>
      <x:c r="Z196" s="58"/>
    </x:row>
    <x:row r="197">
      <x:c r="A197" s="58"/>
      <x:c r="B197" s="58"/>
      <x:c r="C197" s="58"/>
      <x:c r="D197" s="58"/>
      <x:c r="E197" s="58"/>
      <x:c r="F197" s="58"/>
      <x:c r="G197" s="58"/>
      <x:c r="H197" s="58"/>
      <x:c r="I197" s="58"/>
      <x:c r="J197" s="58"/>
      <x:c r="K197" s="58"/>
      <x:c r="L197" s="58"/>
      <x:c r="M197" s="58"/>
      <x:c r="N197" s="58"/>
      <x:c r="O197" s="58"/>
      <x:c r="P197" s="58"/>
      <x:c r="Q197" s="58"/>
      <x:c r="R197" s="58"/>
      <x:c r="S197" s="58"/>
      <x:c r="T197" s="58"/>
      <x:c r="U197" s="58"/>
      <x:c r="V197" s="58"/>
      <x:c r="W197" s="58"/>
      <x:c r="X197" s="58"/>
      <x:c r="Y197" s="58"/>
      <x:c r="Z197" s="58"/>
    </x:row>
    <x:row r="198">
      <x:c r="A198" s="58"/>
      <x:c r="B198" s="58"/>
      <x:c r="C198" s="58"/>
      <x:c r="D198" s="58"/>
      <x:c r="E198" s="58"/>
      <x:c r="F198" s="58"/>
      <x:c r="G198" s="58"/>
      <x:c r="H198" s="58"/>
      <x:c r="I198" s="58"/>
      <x:c r="J198" s="58"/>
      <x:c r="K198" s="58"/>
      <x:c r="L198" s="58"/>
      <x:c r="M198" s="58"/>
      <x:c r="N198" s="58"/>
      <x:c r="O198" s="58"/>
      <x:c r="P198" s="58"/>
      <x:c r="Q198" s="58"/>
      <x:c r="R198" s="58"/>
      <x:c r="S198" s="58"/>
      <x:c r="T198" s="58"/>
      <x:c r="U198" s="58"/>
      <x:c r="V198" s="58"/>
      <x:c r="W198" s="58"/>
      <x:c r="X198" s="58"/>
      <x:c r="Y198" s="58"/>
      <x:c r="Z198" s="58"/>
    </x:row>
    <x:row r="199">
      <x:c r="A199" s="58"/>
      <x:c r="B199" s="58"/>
      <x:c r="C199" s="58"/>
      <x:c r="D199" s="58"/>
      <x:c r="E199" s="58"/>
      <x:c r="F199" s="58"/>
      <x:c r="G199" s="58"/>
      <x:c r="H199" s="58"/>
      <x:c r="I199" s="58"/>
      <x:c r="J199" s="58"/>
      <x:c r="K199" s="58"/>
      <x:c r="L199" s="58"/>
      <x:c r="M199" s="58"/>
      <x:c r="N199" s="58"/>
      <x:c r="O199" s="58"/>
      <x:c r="P199" s="58"/>
      <x:c r="Q199" s="58"/>
      <x:c r="R199" s="58"/>
      <x:c r="S199" s="58"/>
      <x:c r="T199" s="58"/>
      <x:c r="U199" s="58"/>
      <x:c r="V199" s="58"/>
      <x:c r="W199" s="58"/>
      <x:c r="X199" s="58"/>
      <x:c r="Y199" s="58"/>
      <x:c r="Z199" s="58"/>
    </x:row>
    <x:row r="200">
      <x:c r="A200" s="58"/>
      <x:c r="B200" s="58"/>
      <x:c r="C200" s="58"/>
      <x:c r="D200" s="58"/>
      <x:c r="E200" s="58"/>
      <x:c r="F200" s="58"/>
      <x:c r="G200" s="58"/>
      <x:c r="H200" s="58"/>
      <x:c r="I200" s="58"/>
      <x:c r="J200" s="58"/>
      <x:c r="K200" s="58"/>
      <x:c r="L200" s="58"/>
      <x:c r="M200" s="58"/>
      <x:c r="N200" s="58"/>
      <x:c r="O200" s="58"/>
      <x:c r="P200" s="58"/>
      <x:c r="Q200" s="58"/>
      <x:c r="R200" s="58"/>
      <x:c r="S200" s="58"/>
      <x:c r="T200" s="58"/>
      <x:c r="U200" s="58"/>
      <x:c r="V200" s="58"/>
      <x:c r="W200" s="58"/>
      <x:c r="X200" s="58"/>
      <x:c r="Y200" s="58"/>
      <x:c r="Z200" s="58"/>
    </x:row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57.779998779296875" hidden="0" customWidth="1"/>
    <x:col min="3" max="3" width="20" hidden="0" customWidth="1"/>
    <x:col min="4" max="4" width="20" hidden="0" customWidth="1"/>
  </x:cols>
  <x:sheetData>
    <x:row r="1">
      <x:c r="A1" s="86" t="str">
        <x:v>定价说明</x:v>
      </x:c>
      <x:c r="B1" s="78"/>
      <x:c r="C1" s="78"/>
      <x:c r="D1" s="78"/>
      <x:c r="E1" s="58"/>
      <x:c r="F1" s="58"/>
      <x:c r="G1" s="58"/>
      <x:c r="H1" s="58"/>
      <x:c r="I1" s="58"/>
      <x:c r="J1" s="58"/>
      <x:c r="K1" s="58"/>
      <x:c r="L1" s="58"/>
      <x:c r="M1" s="58"/>
      <x:c r="N1" s="58"/>
      <x:c r="O1" s="58"/>
      <x:c r="P1" s="58"/>
      <x:c r="Q1" s="58"/>
      <x:c r="R1" s="58"/>
      <x:c r="S1" s="58"/>
      <x:c r="T1" s="58"/>
      <x:c r="U1" s="58"/>
      <x:c r="V1" s="58"/>
      <x:c r="W1" s="58"/>
      <x:c r="X1" s="58"/>
      <x:c r="Y1" s="58"/>
      <x:c r="Z1" s="58"/>
    </x:row>
    <x:row r="2">
      <x:c r="A2" s="58"/>
      <x:c r="B2" s="58"/>
      <x:c r="C2" s="58"/>
      <x:c r="D2" s="58"/>
      <x:c r="E2" s="58"/>
      <x:c r="F2" s="58"/>
      <x:c r="G2" s="58"/>
      <x:c r="H2" s="58"/>
      <x:c r="I2" s="58"/>
      <x:c r="J2" s="58"/>
      <x:c r="K2" s="58"/>
      <x:c r="L2" s="58"/>
      <x:c r="M2" s="58"/>
      <x:c r="N2" s="58"/>
      <x:c r="O2" s="58"/>
      <x:c r="P2" s="58"/>
      <x:c r="Q2" s="58"/>
      <x:c r="R2" s="58"/>
      <x:c r="S2" s="58"/>
      <x:c r="T2" s="58"/>
      <x:c r="U2" s="58"/>
      <x:c r="V2" s="58"/>
      <x:c r="W2" s="58"/>
      <x:c r="X2" s="58"/>
      <x:c r="Y2" s="58"/>
      <x:c r="Z2" s="58"/>
    </x:row>
    <x:row r="3">
      <x:c r="A3" s="83" t="str">
        <x:v>项目</x:v>
      </x:c>
      <x:c r="B3" s="83" t="str">
        <x:v>说明</x:v>
      </x:c>
      <x:c r="C3" s="83" t="str"/>
      <x:c r="D3" s="83" t="str"/>
      <x:c r="E3" s="58"/>
      <x:c r="F3" s="58"/>
      <x:c r="G3" s="58"/>
      <x:c r="H3" s="58"/>
      <x:c r="I3" s="58"/>
      <x:c r="J3" s="58"/>
      <x:c r="K3" s="58"/>
      <x:c r="L3" s="58"/>
      <x:c r="M3" s="58"/>
      <x:c r="N3" s="58"/>
      <x:c r="O3" s="58"/>
      <x:c r="P3" s="58"/>
      <x:c r="Q3" s="58"/>
      <x:c r="R3" s="58"/>
      <x:c r="S3" s="58"/>
      <x:c r="T3" s="58"/>
      <x:c r="U3" s="58"/>
      <x:c r="V3" s="58"/>
      <x:c r="W3" s="58"/>
      <x:c r="X3" s="58"/>
      <x:c r="Y3" s="58"/>
      <x:c r="Z3" s="58"/>
    </x:row>
    <x:row r="4">
      <x:c r="A4" s="84" t="str">
        <x:v>数据来源</x:v>
      </x:c>
      <x:c r="B4" s="84" t="str">
        <x:v>NURA珠宝部分信息.xlsx / Sheet1</x:v>
      </x:c>
      <x:c r="C4" s="84" t="str"/>
      <x:c r="D4" s="84" t="str"/>
      <x:c r="E4" s="58"/>
      <x:c r="F4" s="58"/>
      <x:c r="G4" s="58"/>
      <x:c r="H4" s="58"/>
      <x:c r="I4" s="58"/>
      <x:c r="J4" s="58"/>
      <x:c r="K4" s="58"/>
      <x:c r="L4" s="58"/>
      <x:c r="M4" s="58"/>
      <x:c r="N4" s="58"/>
      <x:c r="O4" s="58"/>
      <x:c r="P4" s="58"/>
      <x:c r="Q4" s="58"/>
      <x:c r="R4" s="58"/>
      <x:c r="S4" s="58"/>
      <x:c r="T4" s="58"/>
      <x:c r="U4" s="58"/>
      <x:c r="V4" s="58"/>
      <x:c r="W4" s="58"/>
      <x:c r="X4" s="58"/>
      <x:c r="Y4" s="58"/>
      <x:c r="Z4" s="58"/>
    </x:row>
    <x:row r="5">
      <x:c r="A5" s="84" t="str">
        <x:v>收录字段</x:v>
      </x:c>
      <x:c r="B5" s="84" t="str">
        <x:v>款号、产品名称、成本价、原表零售价、产品图公式文本</x:v>
      </x:c>
      <x:c r="C5" s="84" t="str"/>
      <x:c r="D5" s="84" t="str"/>
      <x:c r="E5" s="58"/>
      <x:c r="F5" s="58"/>
      <x:c r="G5" s="58"/>
      <x:c r="H5" s="58"/>
      <x:c r="I5" s="58"/>
      <x:c r="J5" s="58"/>
      <x:c r="K5" s="58"/>
      <x:c r="L5" s="58"/>
      <x:c r="M5" s="58"/>
      <x:c r="N5" s="58"/>
      <x:c r="O5" s="58"/>
      <x:c r="P5" s="58"/>
      <x:c r="Q5" s="58"/>
      <x:c r="R5" s="58"/>
      <x:c r="S5" s="58"/>
      <x:c r="T5" s="58"/>
      <x:c r="U5" s="58"/>
      <x:c r="V5" s="58"/>
      <x:c r="W5" s="58"/>
      <x:c r="X5" s="58"/>
      <x:c r="Y5" s="58"/>
      <x:c r="Z5" s="58"/>
    </x:row>
    <x:row r="6">
      <x:c r="A6" s="84" t="str">
        <x:v>默认公式</x:v>
      </x:c>
      <x:c r="B6" s="84" t="str">
        <x:v>建议定价 = (成本价 + 运费 + 包装) * (1 + 利润率) * 汇率</x:v>
      </x:c>
      <x:c r="C6" s="84" t="str"/>
      <x:c r="D6" s="84" t="str"/>
      <x:c r="E6" s="58"/>
      <x:c r="F6" s="58"/>
      <x:c r="G6" s="58"/>
      <x:c r="H6" s="58"/>
      <x:c r="I6" s="58"/>
      <x:c r="J6" s="58"/>
      <x:c r="K6" s="58"/>
      <x:c r="L6" s="58"/>
      <x:c r="M6" s="58"/>
      <x:c r="N6" s="58"/>
      <x:c r="O6" s="58"/>
      <x:c r="P6" s="58"/>
      <x:c r="Q6" s="58"/>
      <x:c r="R6" s="58"/>
      <x:c r="S6" s="58"/>
      <x:c r="T6" s="58"/>
      <x:c r="U6" s="58"/>
      <x:c r="V6" s="58"/>
      <x:c r="W6" s="58"/>
      <x:c r="X6" s="58"/>
      <x:c r="Y6" s="58"/>
      <x:c r="Z6" s="58"/>
    </x:row>
    <x:row r="7">
      <x:c r="A7" s="84" t="str">
        <x:v>利润率</x:v>
      </x:c>
      <x:c r="B7" s="84" t="str">
        <x:v>保留 50%、75%、100% 三档；推荐定价默认用 100% 档</x:v>
      </x:c>
      <x:c r="C7" s="84" t="str"/>
      <x:c r="D7" s="84" t="str"/>
      <x:c r="E7" s="58"/>
      <x:c r="F7" s="58"/>
      <x:c r="G7" s="58"/>
      <x:c r="H7" s="58"/>
      <x:c r="I7" s="58"/>
      <x:c r="J7" s="58"/>
      <x:c r="K7" s="58"/>
      <x:c r="L7" s="58"/>
      <x:c r="M7" s="58"/>
      <x:c r="N7" s="58"/>
      <x:c r="O7" s="58"/>
      <x:c r="P7" s="58"/>
      <x:c r="Q7" s="58"/>
      <x:c r="R7" s="58"/>
      <x:c r="S7" s="58"/>
      <x:c r="T7" s="58"/>
      <x:c r="U7" s="58"/>
      <x:c r="V7" s="58"/>
      <x:c r="W7" s="58"/>
      <x:c r="X7" s="58"/>
      <x:c r="Y7" s="58"/>
      <x:c r="Z7" s="58"/>
    </x:row>
    <x:row r="8">
      <x:c r="A8" s="84" t="str">
        <x:v>人民币区间</x:v>
      </x:c>
      <x:c r="B8" s="84" t="str">
        <x:v>推荐定价用 600 元下限和 1200 元上限控制</x:v>
      </x:c>
      <x:c r="C8" s="84" t="str"/>
      <x:c r="D8" s="84" t="str"/>
      <x:c r="E8" s="58"/>
      <x:c r="F8" s="58"/>
      <x:c r="G8" s="58"/>
      <x:c r="H8" s="58"/>
      <x:c r="I8" s="58"/>
      <x:c r="J8" s="58"/>
      <x:c r="K8" s="58"/>
      <x:c r="L8" s="58"/>
      <x:c r="M8" s="58"/>
      <x:c r="N8" s="58"/>
      <x:c r="O8" s="58"/>
      <x:c r="P8" s="58"/>
      <x:c r="Q8" s="58"/>
      <x:c r="R8" s="58"/>
      <x:c r="S8" s="58"/>
      <x:c r="T8" s="58"/>
      <x:c r="U8" s="58"/>
      <x:c r="V8" s="58"/>
      <x:c r="W8" s="58"/>
      <x:c r="X8" s="58"/>
      <x:c r="Y8" s="58"/>
      <x:c r="Z8" s="58"/>
    </x:row>
    <x:row r="9">
      <x:c r="A9" s="84" t="str">
        <x:v>默认运费</x:v>
      </x:c>
      <x:c r="B9" s="84" t="str">
        <x:v>120，可在“定价明细”B4 修改</x:v>
      </x:c>
      <x:c r="C9" s="84" t="str"/>
      <x:c r="D9" s="84" t="str"/>
      <x:c r="E9" s="58"/>
      <x:c r="F9" s="58"/>
      <x:c r="G9" s="58"/>
      <x:c r="H9" s="58"/>
      <x:c r="I9" s="58"/>
      <x:c r="J9" s="58"/>
      <x:c r="K9" s="58"/>
      <x:c r="L9" s="58"/>
      <x:c r="M9" s="58"/>
      <x:c r="N9" s="58"/>
      <x:c r="O9" s="58"/>
      <x:c r="P9" s="58"/>
      <x:c r="Q9" s="58"/>
      <x:c r="R9" s="58"/>
      <x:c r="S9" s="58"/>
      <x:c r="T9" s="58"/>
      <x:c r="U9" s="58"/>
      <x:c r="V9" s="58"/>
      <x:c r="W9" s="58"/>
      <x:c r="X9" s="58"/>
      <x:c r="Y9" s="58"/>
      <x:c r="Z9" s="58"/>
    </x:row>
    <x:row r="10">
      <x:c r="A10" s="84" t="str">
        <x:v>默认包装</x:v>
      </x:c>
      <x:c r="B10" s="84" t="str">
        <x:v>30，可在“定价明细”B5 修改</x:v>
      </x:c>
      <x:c r="C10" s="84" t="str"/>
      <x:c r="D10" s="84" t="str"/>
      <x:c r="E10" s="58"/>
      <x:c r="F10" s="58"/>
      <x:c r="G10" s="58"/>
      <x:c r="H10" s="58"/>
      <x:c r="I10" s="58"/>
      <x:c r="J10" s="58"/>
      <x:c r="K10" s="58"/>
      <x:c r="L10" s="58"/>
      <x:c r="M10" s="58"/>
      <x:c r="N10" s="58"/>
      <x:c r="O10" s="58"/>
      <x:c r="P10" s="58"/>
      <x:c r="Q10" s="58"/>
      <x:c r="R10" s="58"/>
      <x:c r="S10" s="58"/>
      <x:c r="T10" s="58"/>
      <x:c r="U10" s="58"/>
      <x:c r="V10" s="58"/>
      <x:c r="W10" s="58"/>
      <x:c r="X10" s="58"/>
      <x:c r="Y10" s="58"/>
      <x:c r="Z10" s="58"/>
    </x:row>
    <x:row r="11">
      <x:c r="A11" s="84" t="str">
        <x:v>默认汇率</x:v>
      </x:c>
      <x:c r="B11" s="84" t="str">
        <x:v>1，可在“定价明细”B6 修改</x:v>
      </x:c>
      <x:c r="C11" s="84" t="str"/>
      <x:c r="D11" s="84" t="str"/>
      <x:c r="E11" s="58"/>
      <x:c r="F11" s="58"/>
      <x:c r="G11" s="58"/>
      <x:c r="H11" s="58"/>
      <x:c r="I11" s="58"/>
      <x:c r="J11" s="58"/>
      <x:c r="K11" s="58"/>
      <x:c r="L11" s="58"/>
      <x:c r="M11" s="58"/>
      <x:c r="N11" s="58"/>
      <x:c r="O11" s="58"/>
      <x:c r="P11" s="58"/>
      <x:c r="Q11" s="58"/>
      <x:c r="R11" s="58"/>
      <x:c r="S11" s="58"/>
      <x:c r="T11" s="58"/>
      <x:c r="U11" s="58"/>
      <x:c r="V11" s="58"/>
      <x:c r="W11" s="58"/>
      <x:c r="X11" s="58"/>
      <x:c r="Y11" s="58"/>
      <x:c r="Z11" s="58"/>
    </x:row>
    <x:row r="12">
      <x:c r="A12" s="58"/>
      <x:c r="B12" s="58"/>
      <x:c r="C12" s="58"/>
      <x:c r="D12" s="58"/>
      <x:c r="E12" s="58"/>
      <x:c r="F12" s="58"/>
      <x:c r="G12" s="58"/>
      <x:c r="H12" s="58"/>
      <x:c r="I12" s="58"/>
      <x:c r="J12" s="58"/>
      <x:c r="K12" s="58"/>
      <x:c r="L12" s="58"/>
      <x:c r="M12" s="58"/>
      <x:c r="N12" s="58"/>
      <x:c r="O12" s="58"/>
      <x:c r="P12" s="58"/>
      <x:c r="Q12" s="58"/>
      <x:c r="R12" s="58"/>
      <x:c r="S12" s="58"/>
      <x:c r="T12" s="58"/>
      <x:c r="U12" s="58"/>
      <x:c r="V12" s="58"/>
      <x:c r="W12" s="58"/>
      <x:c r="X12" s="58"/>
      <x:c r="Y12" s="58"/>
      <x:c r="Z12" s="58"/>
    </x:row>
    <x:row r="13">
      <x:c r="A13" s="58"/>
      <x:c r="B13" s="58"/>
      <x:c r="C13" s="58"/>
      <x:c r="D13" s="58"/>
      <x:c r="E13" s="58"/>
      <x:c r="F13" s="58"/>
      <x:c r="G13" s="58"/>
      <x:c r="H13" s="58"/>
      <x:c r="I13" s="58"/>
      <x:c r="J13" s="58"/>
      <x:c r="K13" s="58"/>
      <x:c r="L13" s="58"/>
      <x:c r="M13" s="58"/>
      <x:c r="N13" s="58"/>
      <x:c r="O13" s="58"/>
      <x:c r="P13" s="58"/>
      <x:c r="Q13" s="58"/>
      <x:c r="R13" s="58"/>
      <x:c r="S13" s="58"/>
      <x:c r="T13" s="58"/>
      <x:c r="U13" s="58"/>
      <x:c r="V13" s="58"/>
      <x:c r="W13" s="58"/>
      <x:c r="X13" s="58"/>
      <x:c r="Y13" s="58"/>
      <x:c r="Z13" s="58"/>
    </x:row>
    <x:row r="14">
      <x:c r="A14" s="58"/>
      <x:c r="B14" s="58"/>
      <x:c r="C14" s="58"/>
      <x:c r="D14" s="58"/>
      <x:c r="E14" s="58"/>
      <x:c r="F14" s="58"/>
      <x:c r="G14" s="58"/>
      <x:c r="H14" s="58"/>
      <x:c r="I14" s="58"/>
      <x:c r="J14" s="58"/>
      <x:c r="K14" s="58"/>
      <x:c r="L14" s="58"/>
      <x:c r="M14" s="58"/>
      <x:c r="N14" s="58"/>
      <x:c r="O14" s="58"/>
      <x:c r="P14" s="58"/>
      <x:c r="Q14" s="58"/>
      <x:c r="R14" s="58"/>
      <x:c r="S14" s="58"/>
      <x:c r="T14" s="58"/>
      <x:c r="U14" s="58"/>
      <x:c r="V14" s="58"/>
      <x:c r="W14" s="58"/>
      <x:c r="X14" s="58"/>
      <x:c r="Y14" s="58"/>
      <x:c r="Z14" s="58"/>
    </x:row>
    <x:row r="15">
      <x:c r="A15" s="58"/>
      <x:c r="B15" s="58"/>
      <x:c r="C15" s="58"/>
      <x:c r="D15" s="58"/>
      <x:c r="E15" s="58"/>
      <x:c r="F15" s="58"/>
      <x:c r="G15" s="58"/>
      <x:c r="H15" s="58"/>
      <x:c r="I15" s="58"/>
      <x:c r="J15" s="58"/>
      <x:c r="K15" s="58"/>
      <x:c r="L15" s="58"/>
      <x:c r="M15" s="58"/>
      <x:c r="N15" s="58"/>
      <x:c r="O15" s="58"/>
      <x:c r="P15" s="58"/>
      <x:c r="Q15" s="58"/>
      <x:c r="R15" s="58"/>
      <x:c r="S15" s="58"/>
      <x:c r="T15" s="58"/>
      <x:c r="U15" s="58"/>
      <x:c r="V15" s="58"/>
      <x:c r="W15" s="58"/>
      <x:c r="X15" s="58"/>
      <x:c r="Y15" s="58"/>
      <x:c r="Z15" s="58"/>
    </x:row>
    <x:row r="16">
      <x:c r="A16" s="58"/>
      <x:c r="B16" s="58"/>
      <x:c r="C16" s="58"/>
      <x:c r="D16" s="58"/>
      <x:c r="E16" s="58"/>
      <x:c r="F16" s="58"/>
      <x:c r="G16" s="58"/>
      <x:c r="H16" s="58"/>
      <x:c r="I16" s="58"/>
      <x:c r="J16" s="58"/>
      <x:c r="K16" s="58"/>
      <x:c r="L16" s="58"/>
      <x:c r="M16" s="58"/>
      <x:c r="N16" s="58"/>
      <x:c r="O16" s="58"/>
      <x:c r="P16" s="58"/>
      <x:c r="Q16" s="58"/>
      <x:c r="R16" s="58"/>
      <x:c r="S16" s="58"/>
      <x:c r="T16" s="58"/>
      <x:c r="U16" s="58"/>
      <x:c r="V16" s="58"/>
      <x:c r="W16" s="58"/>
      <x:c r="X16" s="58"/>
      <x:c r="Y16" s="58"/>
      <x:c r="Z16" s="58"/>
    </x:row>
    <x:row r="17">
      <x:c r="A17" s="58"/>
      <x:c r="B17" s="58"/>
      <x:c r="C17" s="58"/>
      <x:c r="D17" s="58"/>
      <x:c r="E17" s="58"/>
      <x:c r="F17" s="58"/>
      <x:c r="G17" s="58"/>
      <x:c r="H17" s="58"/>
      <x:c r="I17" s="58"/>
      <x:c r="J17" s="58"/>
      <x:c r="K17" s="58"/>
      <x:c r="L17" s="58"/>
      <x:c r="M17" s="58"/>
      <x:c r="N17" s="58"/>
      <x:c r="O17" s="58"/>
      <x:c r="P17" s="58"/>
      <x:c r="Q17" s="58"/>
      <x:c r="R17" s="58"/>
      <x:c r="S17" s="58"/>
      <x:c r="T17" s="58"/>
      <x:c r="U17" s="58"/>
      <x:c r="V17" s="58"/>
      <x:c r="W17" s="58"/>
      <x:c r="X17" s="58"/>
      <x:c r="Y17" s="58"/>
      <x:c r="Z17" s="58"/>
    </x:row>
    <x:row r="18">
      <x:c r="A18" s="58"/>
      <x:c r="B18" s="58"/>
      <x:c r="C18" s="58"/>
      <x:c r="D18" s="58"/>
      <x:c r="E18" s="58"/>
      <x:c r="F18" s="58"/>
      <x:c r="G18" s="58"/>
      <x:c r="H18" s="58"/>
      <x:c r="I18" s="58"/>
      <x:c r="J18" s="58"/>
      <x:c r="K18" s="58"/>
      <x:c r="L18" s="58"/>
      <x:c r="M18" s="58"/>
      <x:c r="N18" s="58"/>
      <x:c r="O18" s="58"/>
      <x:c r="P18" s="58"/>
      <x:c r="Q18" s="58"/>
      <x:c r="R18" s="58"/>
      <x:c r="S18" s="58"/>
      <x:c r="T18" s="58"/>
      <x:c r="U18" s="58"/>
      <x:c r="V18" s="58"/>
      <x:c r="W18" s="58"/>
      <x:c r="X18" s="58"/>
      <x:c r="Y18" s="58"/>
      <x:c r="Z18" s="58"/>
    </x:row>
    <x:row r="19">
      <x:c r="A19" s="58"/>
      <x:c r="B19" s="58"/>
      <x:c r="C19" s="58"/>
      <x:c r="D19" s="58"/>
      <x:c r="E19" s="58"/>
      <x:c r="F19" s="58"/>
      <x:c r="G19" s="58"/>
      <x:c r="H19" s="58"/>
      <x:c r="I19" s="58"/>
      <x:c r="J19" s="58"/>
      <x:c r="K19" s="58"/>
      <x:c r="L19" s="58"/>
      <x:c r="M19" s="58"/>
      <x:c r="N19" s="58"/>
      <x:c r="O19" s="58"/>
      <x:c r="P19" s="58"/>
      <x:c r="Q19" s="58"/>
      <x:c r="R19" s="58"/>
      <x:c r="S19" s="58"/>
      <x:c r="T19" s="58"/>
      <x:c r="U19" s="58"/>
      <x:c r="V19" s="58"/>
      <x:c r="W19" s="58"/>
      <x:c r="X19" s="58"/>
      <x:c r="Y19" s="58"/>
      <x:c r="Z19" s="58"/>
    </x:row>
    <x:row r="20">
      <x:c r="A20" s="58"/>
      <x:c r="B20" s="58"/>
      <x:c r="C20" s="58"/>
      <x:c r="D20" s="58"/>
      <x:c r="E20" s="58"/>
      <x:c r="F20" s="58"/>
      <x:c r="G20" s="58"/>
      <x:c r="H20" s="58"/>
      <x:c r="I20" s="58"/>
      <x:c r="J20" s="58"/>
      <x:c r="K20" s="58"/>
      <x:c r="L20" s="58"/>
      <x:c r="M20" s="58"/>
      <x:c r="N20" s="58"/>
      <x:c r="O20" s="58"/>
      <x:c r="P20" s="58"/>
      <x:c r="Q20" s="58"/>
      <x:c r="R20" s="58"/>
      <x:c r="S20" s="58"/>
      <x:c r="T20" s="58"/>
      <x:c r="U20" s="58"/>
      <x:c r="V20" s="58"/>
      <x:c r="W20" s="58"/>
      <x:c r="X20" s="58"/>
      <x:c r="Y20" s="58"/>
      <x:c r="Z20" s="58"/>
    </x:row>
    <x:row r="21">
      <x:c r="A21" s="58"/>
      <x:c r="B21" s="58"/>
      <x:c r="C21" s="58"/>
      <x:c r="D21" s="58"/>
      <x:c r="E21" s="58"/>
      <x:c r="F21" s="58"/>
      <x:c r="G21" s="58"/>
      <x:c r="H21" s="58"/>
      <x:c r="I21" s="58"/>
      <x:c r="J21" s="58"/>
      <x:c r="K21" s="58"/>
      <x:c r="L21" s="58"/>
      <x:c r="M21" s="58"/>
      <x:c r="N21" s="58"/>
      <x:c r="O21" s="58"/>
      <x:c r="P21" s="58"/>
      <x:c r="Q21" s="58"/>
      <x:c r="R21" s="58"/>
      <x:c r="S21" s="58"/>
      <x:c r="T21" s="58"/>
      <x:c r="U21" s="58"/>
      <x:c r="V21" s="58"/>
      <x:c r="W21" s="58"/>
      <x:c r="X21" s="58"/>
      <x:c r="Y21" s="58"/>
      <x:c r="Z21" s="58"/>
    </x:row>
    <x:row r="22">
      <x:c r="A22" s="58"/>
      <x:c r="B22" s="58"/>
      <x:c r="C22" s="58"/>
      <x:c r="D22" s="58"/>
      <x:c r="E22" s="58"/>
      <x:c r="F22" s="58"/>
      <x:c r="G22" s="58"/>
      <x:c r="H22" s="58"/>
      <x:c r="I22" s="58"/>
      <x:c r="J22" s="58"/>
      <x:c r="K22" s="58"/>
      <x:c r="L22" s="58"/>
      <x:c r="M22" s="58"/>
      <x:c r="N22" s="58"/>
      <x:c r="O22" s="58"/>
      <x:c r="P22" s="58"/>
      <x:c r="Q22" s="58"/>
      <x:c r="R22" s="58"/>
      <x:c r="S22" s="58"/>
      <x:c r="T22" s="58"/>
      <x:c r="U22" s="58"/>
      <x:c r="V22" s="58"/>
      <x:c r="W22" s="58"/>
      <x:c r="X22" s="58"/>
      <x:c r="Y22" s="58"/>
      <x:c r="Z22" s="58"/>
    </x:row>
    <x:row r="23">
      <x:c r="A23" s="58"/>
      <x:c r="B23" s="58"/>
      <x:c r="C23" s="58"/>
      <x:c r="D23" s="58"/>
      <x:c r="E23" s="58"/>
      <x:c r="F23" s="58"/>
      <x:c r="G23" s="58"/>
      <x:c r="H23" s="58"/>
      <x:c r="I23" s="58"/>
      <x:c r="J23" s="58"/>
      <x:c r="K23" s="58"/>
      <x:c r="L23" s="58"/>
      <x:c r="M23" s="58"/>
      <x:c r="N23" s="58"/>
      <x:c r="O23" s="58"/>
      <x:c r="P23" s="58"/>
      <x:c r="Q23" s="58"/>
      <x:c r="R23" s="58"/>
      <x:c r="S23" s="58"/>
      <x:c r="T23" s="58"/>
      <x:c r="U23" s="58"/>
      <x:c r="V23" s="58"/>
      <x:c r="W23" s="58"/>
      <x:c r="X23" s="58"/>
      <x:c r="Y23" s="58"/>
      <x:c r="Z23" s="58"/>
    </x:row>
    <x:row r="24">
      <x:c r="A24" s="58"/>
      <x:c r="B24" s="58"/>
      <x:c r="C24" s="58"/>
      <x:c r="D24" s="58"/>
      <x:c r="E24" s="58"/>
      <x:c r="F24" s="58"/>
      <x:c r="G24" s="58"/>
      <x:c r="H24" s="58"/>
      <x:c r="I24" s="58"/>
      <x:c r="J24" s="58"/>
      <x:c r="K24" s="58"/>
      <x:c r="L24" s="58"/>
      <x:c r="M24" s="58"/>
      <x:c r="N24" s="58"/>
      <x:c r="O24" s="58"/>
      <x:c r="P24" s="58"/>
      <x:c r="Q24" s="58"/>
      <x:c r="R24" s="58"/>
      <x:c r="S24" s="58"/>
      <x:c r="T24" s="58"/>
      <x:c r="U24" s="58"/>
      <x:c r="V24" s="58"/>
      <x:c r="W24" s="58"/>
      <x:c r="X24" s="58"/>
      <x:c r="Y24" s="58"/>
      <x:c r="Z24" s="58"/>
    </x:row>
    <x:row r="25">
      <x:c r="A25" s="58"/>
      <x:c r="B25" s="58"/>
      <x:c r="C25" s="58"/>
      <x:c r="D25" s="58"/>
      <x:c r="E25" s="58"/>
      <x:c r="F25" s="58"/>
      <x:c r="G25" s="58"/>
      <x:c r="H25" s="58"/>
      <x:c r="I25" s="58"/>
      <x:c r="J25" s="58"/>
      <x:c r="K25" s="58"/>
      <x:c r="L25" s="58"/>
      <x:c r="M25" s="58"/>
      <x:c r="N25" s="58"/>
      <x:c r="O25" s="58"/>
      <x:c r="P25" s="58"/>
      <x:c r="Q25" s="58"/>
      <x:c r="R25" s="58"/>
      <x:c r="S25" s="58"/>
      <x:c r="T25" s="58"/>
      <x:c r="U25" s="58"/>
      <x:c r="V25" s="58"/>
      <x:c r="W25" s="58"/>
      <x:c r="X25" s="58"/>
      <x:c r="Y25" s="58"/>
      <x:c r="Z25" s="58"/>
    </x:row>
    <x:row r="26">
      <x:c r="A26" s="58"/>
      <x:c r="B26" s="58"/>
      <x:c r="C26" s="58"/>
      <x:c r="D26" s="58"/>
      <x:c r="E26" s="58"/>
      <x:c r="F26" s="58"/>
      <x:c r="G26" s="58"/>
      <x:c r="H26" s="58"/>
      <x:c r="I26" s="58"/>
      <x:c r="J26" s="58"/>
      <x:c r="K26" s="58"/>
      <x:c r="L26" s="58"/>
      <x:c r="M26" s="58"/>
      <x:c r="N26" s="58"/>
      <x:c r="O26" s="58"/>
      <x:c r="P26" s="58"/>
      <x:c r="Q26" s="58"/>
      <x:c r="R26" s="58"/>
      <x:c r="S26" s="58"/>
      <x:c r="T26" s="58"/>
      <x:c r="U26" s="58"/>
      <x:c r="V26" s="58"/>
      <x:c r="W26" s="58"/>
      <x:c r="X26" s="58"/>
      <x:c r="Y26" s="58"/>
      <x:c r="Z26" s="58"/>
    </x:row>
    <x:row r="27">
      <x:c r="A27" s="58"/>
      <x:c r="B27" s="58"/>
      <x:c r="C27" s="58"/>
      <x:c r="D27" s="58"/>
      <x:c r="E27" s="58"/>
      <x:c r="F27" s="58"/>
      <x:c r="G27" s="58"/>
      <x:c r="H27" s="58"/>
      <x:c r="I27" s="58"/>
      <x:c r="J27" s="58"/>
      <x:c r="K27" s="58"/>
      <x:c r="L27" s="58"/>
      <x:c r="M27" s="58"/>
      <x:c r="N27" s="58"/>
      <x:c r="O27" s="58"/>
      <x:c r="P27" s="58"/>
      <x:c r="Q27" s="58"/>
      <x:c r="R27" s="58"/>
      <x:c r="S27" s="58"/>
      <x:c r="T27" s="58"/>
      <x:c r="U27" s="58"/>
      <x:c r="V27" s="58"/>
      <x:c r="W27" s="58"/>
      <x:c r="X27" s="58"/>
      <x:c r="Y27" s="58"/>
      <x:c r="Z27" s="58"/>
    </x:row>
    <x:row r="28">
      <x:c r="A28" s="58"/>
      <x:c r="B28" s="58"/>
      <x:c r="C28" s="58"/>
      <x:c r="D28" s="58"/>
      <x:c r="E28" s="58"/>
      <x:c r="F28" s="58"/>
      <x:c r="G28" s="58"/>
      <x:c r="H28" s="58"/>
      <x:c r="I28" s="58"/>
      <x:c r="J28" s="58"/>
      <x:c r="K28" s="58"/>
      <x:c r="L28" s="58"/>
      <x:c r="M28" s="58"/>
      <x:c r="N28" s="58"/>
      <x:c r="O28" s="58"/>
      <x:c r="P28" s="58"/>
      <x:c r="Q28" s="58"/>
      <x:c r="R28" s="58"/>
      <x:c r="S28" s="58"/>
      <x:c r="T28" s="58"/>
      <x:c r="U28" s="58"/>
      <x:c r="V28" s="58"/>
      <x:c r="W28" s="58"/>
      <x:c r="X28" s="58"/>
      <x:c r="Y28" s="58"/>
      <x:c r="Z28" s="58"/>
    </x:row>
    <x:row r="29">
      <x:c r="A29" s="58"/>
      <x:c r="B29" s="58"/>
      <x:c r="C29" s="58"/>
      <x:c r="D29" s="58"/>
      <x:c r="E29" s="58"/>
      <x:c r="F29" s="58"/>
      <x:c r="G29" s="58"/>
      <x:c r="H29" s="58"/>
      <x:c r="I29" s="58"/>
      <x:c r="J29" s="58"/>
      <x:c r="K29" s="58"/>
      <x:c r="L29" s="58"/>
      <x:c r="M29" s="58"/>
      <x:c r="N29" s="58"/>
      <x:c r="O29" s="58"/>
      <x:c r="P29" s="58"/>
      <x:c r="Q29" s="58"/>
      <x:c r="R29" s="58"/>
      <x:c r="S29" s="58"/>
      <x:c r="T29" s="58"/>
      <x:c r="U29" s="58"/>
      <x:c r="V29" s="58"/>
      <x:c r="W29" s="58"/>
      <x:c r="X29" s="58"/>
      <x:c r="Y29" s="58"/>
      <x:c r="Z29" s="58"/>
    </x:row>
    <x:row r="30">
      <x:c r="A30" s="58"/>
      <x:c r="B30" s="58"/>
      <x:c r="C30" s="58"/>
      <x:c r="D30" s="58"/>
      <x:c r="E30" s="58"/>
      <x:c r="F30" s="58"/>
      <x:c r="G30" s="58"/>
      <x:c r="H30" s="58"/>
      <x:c r="I30" s="58"/>
      <x:c r="J30" s="58"/>
      <x:c r="K30" s="58"/>
      <x:c r="L30" s="58"/>
      <x:c r="M30" s="58"/>
      <x:c r="N30" s="58"/>
      <x:c r="O30" s="58"/>
      <x:c r="P30" s="58"/>
      <x:c r="Q30" s="58"/>
      <x:c r="R30" s="58"/>
      <x:c r="S30" s="58"/>
      <x:c r="T30" s="58"/>
      <x:c r="U30" s="58"/>
      <x:c r="V30" s="58"/>
      <x:c r="W30" s="58"/>
      <x:c r="X30" s="58"/>
      <x:c r="Y30" s="58"/>
      <x:c r="Z30" s="58"/>
    </x:row>
    <x:row r="31">
      <x:c r="A31" s="58"/>
      <x:c r="B31" s="58"/>
      <x:c r="C31" s="58"/>
      <x:c r="D31" s="58"/>
      <x:c r="E31" s="58"/>
      <x:c r="F31" s="58"/>
      <x:c r="G31" s="58"/>
      <x:c r="H31" s="58"/>
      <x:c r="I31" s="58"/>
      <x:c r="J31" s="58"/>
      <x:c r="K31" s="58"/>
      <x:c r="L31" s="58"/>
      <x:c r="M31" s="58"/>
      <x:c r="N31" s="58"/>
      <x:c r="O31" s="58"/>
      <x:c r="P31" s="58"/>
      <x:c r="Q31" s="58"/>
      <x:c r="R31" s="58"/>
      <x:c r="S31" s="58"/>
      <x:c r="T31" s="58"/>
      <x:c r="U31" s="58"/>
      <x:c r="V31" s="58"/>
      <x:c r="W31" s="58"/>
      <x:c r="X31" s="58"/>
      <x:c r="Y31" s="58"/>
      <x:c r="Z31" s="58"/>
    </x:row>
    <x:row r="32">
      <x:c r="A32" s="58"/>
      <x:c r="B32" s="58"/>
      <x:c r="C32" s="58"/>
      <x:c r="D32" s="58"/>
      <x:c r="E32" s="58"/>
      <x:c r="F32" s="58"/>
      <x:c r="G32" s="58"/>
      <x:c r="H32" s="58"/>
      <x:c r="I32" s="58"/>
      <x:c r="J32" s="58"/>
      <x:c r="K32" s="58"/>
      <x:c r="L32" s="58"/>
      <x:c r="M32" s="58"/>
      <x:c r="N32" s="58"/>
      <x:c r="O32" s="58"/>
      <x:c r="P32" s="58"/>
      <x:c r="Q32" s="58"/>
      <x:c r="R32" s="58"/>
      <x:c r="S32" s="58"/>
      <x:c r="T32" s="58"/>
      <x:c r="U32" s="58"/>
      <x:c r="V32" s="58"/>
      <x:c r="W32" s="58"/>
      <x:c r="X32" s="58"/>
      <x:c r="Y32" s="58"/>
      <x:c r="Z32" s="58"/>
    </x:row>
    <x:row r="33">
      <x:c r="A33" s="58"/>
      <x:c r="B33" s="58"/>
      <x:c r="C33" s="58"/>
      <x:c r="D33" s="58"/>
      <x:c r="E33" s="58"/>
      <x:c r="F33" s="58"/>
      <x:c r="G33" s="58"/>
      <x:c r="H33" s="58"/>
      <x:c r="I33" s="58"/>
      <x:c r="J33" s="58"/>
      <x:c r="K33" s="58"/>
      <x:c r="L33" s="58"/>
      <x:c r="M33" s="58"/>
      <x:c r="N33" s="58"/>
      <x:c r="O33" s="58"/>
      <x:c r="P33" s="58"/>
      <x:c r="Q33" s="58"/>
      <x:c r="R33" s="58"/>
      <x:c r="S33" s="58"/>
      <x:c r="T33" s="58"/>
      <x:c r="U33" s="58"/>
      <x:c r="V33" s="58"/>
      <x:c r="W33" s="58"/>
      <x:c r="X33" s="58"/>
      <x:c r="Y33" s="58"/>
      <x:c r="Z33" s="58"/>
    </x:row>
    <x:row r="34">
      <x:c r="A34" s="58"/>
      <x:c r="B34" s="58"/>
      <x:c r="C34" s="58"/>
      <x:c r="D34" s="58"/>
      <x:c r="E34" s="58"/>
      <x:c r="F34" s="58"/>
      <x:c r="G34" s="58"/>
      <x:c r="H34" s="58"/>
      <x:c r="I34" s="58"/>
      <x:c r="J34" s="58"/>
      <x:c r="K34" s="58"/>
      <x:c r="L34" s="58"/>
      <x:c r="M34" s="58"/>
      <x:c r="N34" s="58"/>
      <x:c r="O34" s="58"/>
      <x:c r="P34" s="58"/>
      <x:c r="Q34" s="58"/>
      <x:c r="R34" s="58"/>
      <x:c r="S34" s="58"/>
      <x:c r="T34" s="58"/>
      <x:c r="U34" s="58"/>
      <x:c r="V34" s="58"/>
      <x:c r="W34" s="58"/>
      <x:c r="X34" s="58"/>
      <x:c r="Y34" s="58"/>
      <x:c r="Z34" s="58"/>
    </x:row>
    <x:row r="35">
      <x:c r="A35" s="58"/>
      <x:c r="B35" s="58"/>
      <x:c r="C35" s="58"/>
      <x:c r="D35" s="58"/>
      <x:c r="E35" s="58"/>
      <x:c r="F35" s="58"/>
      <x:c r="G35" s="58"/>
      <x:c r="H35" s="58"/>
      <x:c r="I35" s="58"/>
      <x:c r="J35" s="58"/>
      <x:c r="K35" s="58"/>
      <x:c r="L35" s="58"/>
      <x:c r="M35" s="58"/>
      <x:c r="N35" s="58"/>
      <x:c r="O35" s="58"/>
      <x:c r="P35" s="58"/>
      <x:c r="Q35" s="58"/>
      <x:c r="R35" s="58"/>
      <x:c r="S35" s="58"/>
      <x:c r="T35" s="58"/>
      <x:c r="U35" s="58"/>
      <x:c r="V35" s="58"/>
      <x:c r="W35" s="58"/>
      <x:c r="X35" s="58"/>
      <x:c r="Y35" s="58"/>
      <x:c r="Z35" s="58"/>
    </x:row>
    <x:row r="36">
      <x:c r="A36" s="58"/>
      <x:c r="B36" s="58"/>
      <x:c r="C36" s="58"/>
      <x:c r="D36" s="58"/>
      <x:c r="E36" s="58"/>
      <x:c r="F36" s="58"/>
      <x:c r="G36" s="58"/>
      <x:c r="H36" s="58"/>
      <x:c r="I36" s="58"/>
      <x:c r="J36" s="58"/>
      <x:c r="K36" s="58"/>
      <x:c r="L36" s="58"/>
      <x:c r="M36" s="58"/>
      <x:c r="N36" s="58"/>
      <x:c r="O36" s="58"/>
      <x:c r="P36" s="58"/>
      <x:c r="Q36" s="58"/>
      <x:c r="R36" s="58"/>
      <x:c r="S36" s="58"/>
      <x:c r="T36" s="58"/>
      <x:c r="U36" s="58"/>
      <x:c r="V36" s="58"/>
      <x:c r="W36" s="58"/>
      <x:c r="X36" s="58"/>
      <x:c r="Y36" s="58"/>
      <x:c r="Z36" s="58"/>
    </x:row>
    <x:row r="37">
      <x:c r="A37" s="58"/>
      <x:c r="B37" s="58"/>
      <x:c r="C37" s="58"/>
      <x:c r="D37" s="58"/>
      <x:c r="E37" s="58"/>
      <x:c r="F37" s="58"/>
      <x:c r="G37" s="58"/>
      <x:c r="H37" s="58"/>
      <x:c r="I37" s="58"/>
      <x:c r="J37" s="58"/>
      <x:c r="K37" s="58"/>
      <x:c r="L37" s="58"/>
      <x:c r="M37" s="58"/>
      <x:c r="N37" s="58"/>
      <x:c r="O37" s="58"/>
      <x:c r="P37" s="58"/>
      <x:c r="Q37" s="58"/>
      <x:c r="R37" s="58"/>
      <x:c r="S37" s="58"/>
      <x:c r="T37" s="58"/>
      <x:c r="U37" s="58"/>
      <x:c r="V37" s="58"/>
      <x:c r="W37" s="58"/>
      <x:c r="X37" s="58"/>
      <x:c r="Y37" s="58"/>
      <x:c r="Z37" s="58"/>
    </x:row>
    <x:row r="38">
      <x:c r="A38" s="58"/>
      <x:c r="B38" s="58"/>
      <x:c r="C38" s="58"/>
      <x:c r="D38" s="58"/>
      <x:c r="E38" s="58"/>
      <x:c r="F38" s="58"/>
      <x:c r="G38" s="58"/>
      <x:c r="H38" s="58"/>
      <x:c r="I38" s="58"/>
      <x:c r="J38" s="58"/>
      <x:c r="K38" s="58"/>
      <x:c r="L38" s="58"/>
      <x:c r="M38" s="58"/>
      <x:c r="N38" s="58"/>
      <x:c r="O38" s="58"/>
      <x:c r="P38" s="58"/>
      <x:c r="Q38" s="58"/>
      <x:c r="R38" s="58"/>
      <x:c r="S38" s="58"/>
      <x:c r="T38" s="58"/>
      <x:c r="U38" s="58"/>
      <x:c r="V38" s="58"/>
      <x:c r="W38" s="58"/>
      <x:c r="X38" s="58"/>
      <x:c r="Y38" s="58"/>
      <x:c r="Z38" s="58"/>
    </x:row>
    <x:row r="39">
      <x:c r="A39" s="58"/>
      <x:c r="B39" s="58"/>
      <x:c r="C39" s="58"/>
      <x:c r="D39" s="58"/>
      <x:c r="E39" s="58"/>
      <x:c r="F39" s="58"/>
      <x:c r="G39" s="58"/>
      <x:c r="H39" s="58"/>
      <x:c r="I39" s="58"/>
      <x:c r="J39" s="58"/>
      <x:c r="K39" s="58"/>
      <x:c r="L39" s="58"/>
      <x:c r="M39" s="58"/>
      <x:c r="N39" s="58"/>
      <x:c r="O39" s="58"/>
      <x:c r="P39" s="58"/>
      <x:c r="Q39" s="58"/>
      <x:c r="R39" s="58"/>
      <x:c r="S39" s="58"/>
      <x:c r="T39" s="58"/>
      <x:c r="U39" s="58"/>
      <x:c r="V39" s="58"/>
      <x:c r="W39" s="58"/>
      <x:c r="X39" s="58"/>
      <x:c r="Y39" s="58"/>
      <x:c r="Z39" s="58"/>
    </x:row>
    <x:row r="40">
      <x:c r="A40" s="58"/>
      <x:c r="B40" s="58"/>
      <x:c r="C40" s="58"/>
      <x:c r="D40" s="58"/>
      <x:c r="E40" s="58"/>
      <x:c r="F40" s="58"/>
      <x:c r="G40" s="58"/>
      <x:c r="H40" s="58"/>
      <x:c r="I40" s="58"/>
      <x:c r="J40" s="58"/>
      <x:c r="K40" s="58"/>
      <x:c r="L40" s="58"/>
      <x:c r="M40" s="58"/>
      <x:c r="N40" s="58"/>
      <x:c r="O40" s="58"/>
      <x:c r="P40" s="58"/>
      <x:c r="Q40" s="58"/>
      <x:c r="R40" s="58"/>
      <x:c r="S40" s="58"/>
      <x:c r="T40" s="58"/>
      <x:c r="U40" s="58"/>
      <x:c r="V40" s="58"/>
      <x:c r="W40" s="58"/>
      <x:c r="X40" s="58"/>
      <x:c r="Y40" s="58"/>
      <x:c r="Z40" s="58"/>
    </x:row>
    <x:row r="41">
      <x:c r="A41" s="58"/>
      <x:c r="B41" s="58"/>
      <x:c r="C41" s="58"/>
      <x:c r="D41" s="58"/>
      <x:c r="E41" s="58"/>
      <x:c r="F41" s="58"/>
      <x:c r="G41" s="58"/>
      <x:c r="H41" s="58"/>
      <x:c r="I41" s="58"/>
      <x:c r="J41" s="58"/>
      <x:c r="K41" s="58"/>
      <x:c r="L41" s="58"/>
      <x:c r="M41" s="58"/>
      <x:c r="N41" s="58"/>
      <x:c r="O41" s="58"/>
      <x:c r="P41" s="58"/>
      <x:c r="Q41" s="58"/>
      <x:c r="R41" s="58"/>
      <x:c r="S41" s="58"/>
      <x:c r="T41" s="58"/>
      <x:c r="U41" s="58"/>
      <x:c r="V41" s="58"/>
      <x:c r="W41" s="58"/>
      <x:c r="X41" s="58"/>
      <x:c r="Y41" s="58"/>
      <x:c r="Z41" s="58"/>
    </x:row>
    <x:row r="42">
      <x:c r="A42" s="58"/>
      <x:c r="B42" s="58"/>
      <x:c r="C42" s="58"/>
      <x:c r="D42" s="58"/>
      <x:c r="E42" s="58"/>
      <x:c r="F42" s="58"/>
      <x:c r="G42" s="58"/>
      <x:c r="H42" s="58"/>
      <x:c r="I42" s="58"/>
      <x:c r="J42" s="58"/>
      <x:c r="K42" s="58"/>
      <x:c r="L42" s="58"/>
      <x:c r="M42" s="58"/>
      <x:c r="N42" s="58"/>
      <x:c r="O42" s="58"/>
      <x:c r="P42" s="58"/>
      <x:c r="Q42" s="58"/>
      <x:c r="R42" s="58"/>
      <x:c r="S42" s="58"/>
      <x:c r="T42" s="58"/>
      <x:c r="U42" s="58"/>
      <x:c r="V42" s="58"/>
      <x:c r="W42" s="58"/>
      <x:c r="X42" s="58"/>
      <x:c r="Y42" s="58"/>
      <x:c r="Z42" s="58"/>
    </x:row>
    <x:row r="43">
      <x:c r="A43" s="58"/>
      <x:c r="B43" s="58"/>
      <x:c r="C43" s="58"/>
      <x:c r="D43" s="58"/>
      <x:c r="E43" s="58"/>
      <x:c r="F43" s="58"/>
      <x:c r="G43" s="58"/>
      <x:c r="H43" s="58"/>
      <x:c r="I43" s="58"/>
      <x:c r="J43" s="58"/>
      <x:c r="K43" s="58"/>
      <x:c r="L43" s="58"/>
      <x:c r="M43" s="58"/>
      <x:c r="N43" s="58"/>
      <x:c r="O43" s="58"/>
      <x:c r="P43" s="58"/>
      <x:c r="Q43" s="58"/>
      <x:c r="R43" s="58"/>
      <x:c r="S43" s="58"/>
      <x:c r="T43" s="58"/>
      <x:c r="U43" s="58"/>
      <x:c r="V43" s="58"/>
      <x:c r="W43" s="58"/>
      <x:c r="X43" s="58"/>
      <x:c r="Y43" s="58"/>
      <x:c r="Z43" s="58"/>
    </x:row>
    <x:row r="44">
      <x:c r="A44" s="58"/>
      <x:c r="B44" s="58"/>
      <x:c r="C44" s="58"/>
      <x:c r="D44" s="58"/>
      <x:c r="E44" s="58"/>
      <x:c r="F44" s="58"/>
      <x:c r="G44" s="58"/>
      <x:c r="H44" s="58"/>
      <x:c r="I44" s="58"/>
      <x:c r="J44" s="58"/>
      <x:c r="K44" s="58"/>
      <x:c r="L44" s="58"/>
      <x:c r="M44" s="58"/>
      <x:c r="N44" s="58"/>
      <x:c r="O44" s="58"/>
      <x:c r="P44" s="58"/>
      <x:c r="Q44" s="58"/>
      <x:c r="R44" s="58"/>
      <x:c r="S44" s="58"/>
      <x:c r="T44" s="58"/>
      <x:c r="U44" s="58"/>
      <x:c r="V44" s="58"/>
      <x:c r="W44" s="58"/>
      <x:c r="X44" s="58"/>
      <x:c r="Y44" s="58"/>
      <x:c r="Z44" s="58"/>
    </x:row>
    <x:row r="45">
      <x:c r="A45" s="58"/>
      <x:c r="B45" s="58"/>
      <x:c r="C45" s="58"/>
      <x:c r="D45" s="58"/>
      <x:c r="E45" s="58"/>
      <x:c r="F45" s="58"/>
      <x:c r="G45" s="58"/>
      <x:c r="H45" s="58"/>
      <x:c r="I45" s="58"/>
      <x:c r="J45" s="58"/>
      <x:c r="K45" s="58"/>
      <x:c r="L45" s="58"/>
      <x:c r="M45" s="58"/>
      <x:c r="N45" s="58"/>
      <x:c r="O45" s="58"/>
      <x:c r="P45" s="58"/>
      <x:c r="Q45" s="58"/>
      <x:c r="R45" s="58"/>
      <x:c r="S45" s="58"/>
      <x:c r="T45" s="58"/>
      <x:c r="U45" s="58"/>
      <x:c r="V45" s="58"/>
      <x:c r="W45" s="58"/>
      <x:c r="X45" s="58"/>
      <x:c r="Y45" s="58"/>
      <x:c r="Z45" s="58"/>
    </x:row>
    <x:row r="46">
      <x:c r="A46" s="58"/>
      <x:c r="B46" s="58"/>
      <x:c r="C46" s="58"/>
      <x:c r="D46" s="58"/>
      <x:c r="E46" s="58"/>
      <x:c r="F46" s="58"/>
      <x:c r="G46" s="58"/>
      <x:c r="H46" s="58"/>
      <x:c r="I46" s="58"/>
      <x:c r="J46" s="58"/>
      <x:c r="K46" s="58"/>
      <x:c r="L46" s="58"/>
      <x:c r="M46" s="58"/>
      <x:c r="N46" s="58"/>
      <x:c r="O46" s="58"/>
      <x:c r="P46" s="58"/>
      <x:c r="Q46" s="58"/>
      <x:c r="R46" s="58"/>
      <x:c r="S46" s="58"/>
      <x:c r="T46" s="58"/>
      <x:c r="U46" s="58"/>
      <x:c r="V46" s="58"/>
      <x:c r="W46" s="58"/>
      <x:c r="X46" s="58"/>
      <x:c r="Y46" s="58"/>
      <x:c r="Z46" s="58"/>
    </x:row>
    <x:row r="47">
      <x:c r="A47" s="58"/>
      <x:c r="B47" s="58"/>
      <x:c r="C47" s="58"/>
      <x:c r="D47" s="58"/>
      <x:c r="E47" s="58"/>
      <x:c r="F47" s="58"/>
      <x:c r="G47" s="58"/>
      <x:c r="H47" s="58"/>
      <x:c r="I47" s="58"/>
      <x:c r="J47" s="58"/>
      <x:c r="K47" s="58"/>
      <x:c r="L47" s="58"/>
      <x:c r="M47" s="58"/>
      <x:c r="N47" s="58"/>
      <x:c r="O47" s="58"/>
      <x:c r="P47" s="58"/>
      <x:c r="Q47" s="58"/>
      <x:c r="R47" s="58"/>
      <x:c r="S47" s="58"/>
      <x:c r="T47" s="58"/>
      <x:c r="U47" s="58"/>
      <x:c r="V47" s="58"/>
      <x:c r="W47" s="58"/>
      <x:c r="X47" s="58"/>
      <x:c r="Y47" s="58"/>
      <x:c r="Z47" s="58"/>
    </x:row>
    <x:row r="48">
      <x:c r="A48" s="58"/>
      <x:c r="B48" s="58"/>
      <x:c r="C48" s="58"/>
      <x:c r="D48" s="58"/>
      <x:c r="E48" s="58"/>
      <x:c r="F48" s="58"/>
      <x:c r="G48" s="58"/>
      <x:c r="H48" s="58"/>
      <x:c r="I48" s="58"/>
      <x:c r="J48" s="58"/>
      <x:c r="K48" s="58"/>
      <x:c r="L48" s="58"/>
      <x:c r="M48" s="58"/>
      <x:c r="N48" s="58"/>
      <x:c r="O48" s="58"/>
      <x:c r="P48" s="58"/>
      <x:c r="Q48" s="58"/>
      <x:c r="R48" s="58"/>
      <x:c r="S48" s="58"/>
      <x:c r="T48" s="58"/>
      <x:c r="U48" s="58"/>
      <x:c r="V48" s="58"/>
      <x:c r="W48" s="58"/>
      <x:c r="X48" s="58"/>
      <x:c r="Y48" s="58"/>
      <x:c r="Z48" s="58"/>
    </x:row>
    <x:row r="49">
      <x:c r="A49" s="58"/>
      <x:c r="B49" s="58"/>
      <x:c r="C49" s="58"/>
      <x:c r="D49" s="58"/>
      <x:c r="E49" s="58"/>
      <x:c r="F49" s="58"/>
      <x:c r="G49" s="58"/>
      <x:c r="H49" s="58"/>
      <x:c r="I49" s="58"/>
      <x:c r="J49" s="58"/>
      <x:c r="K49" s="58"/>
      <x:c r="L49" s="58"/>
      <x:c r="M49" s="58"/>
      <x:c r="N49" s="58"/>
      <x:c r="O49" s="58"/>
      <x:c r="P49" s="58"/>
      <x:c r="Q49" s="58"/>
      <x:c r="R49" s="58"/>
      <x:c r="S49" s="58"/>
      <x:c r="T49" s="58"/>
      <x:c r="U49" s="58"/>
      <x:c r="V49" s="58"/>
      <x:c r="W49" s="58"/>
      <x:c r="X49" s="58"/>
      <x:c r="Y49" s="58"/>
      <x:c r="Z49" s="58"/>
    </x:row>
    <x:row r="50">
      <x:c r="A50" s="58"/>
      <x:c r="B50" s="58"/>
      <x:c r="C50" s="58"/>
      <x:c r="D50" s="58"/>
      <x:c r="E50" s="58"/>
      <x:c r="F50" s="58"/>
      <x:c r="G50" s="58"/>
      <x:c r="H50" s="58"/>
      <x:c r="I50" s="58"/>
      <x:c r="J50" s="58"/>
      <x:c r="K50" s="58"/>
      <x:c r="L50" s="58"/>
      <x:c r="M50" s="58"/>
      <x:c r="N50" s="58"/>
      <x:c r="O50" s="58"/>
      <x:c r="P50" s="58"/>
      <x:c r="Q50" s="58"/>
      <x:c r="R50" s="58"/>
      <x:c r="S50" s="58"/>
      <x:c r="T50" s="58"/>
      <x:c r="U50" s="58"/>
      <x:c r="V50" s="58"/>
      <x:c r="W50" s="58"/>
      <x:c r="X50" s="58"/>
      <x:c r="Y50" s="58"/>
      <x:c r="Z50" s="58"/>
    </x:row>
    <x:row r="51">
      <x:c r="A51" s="58"/>
      <x:c r="B51" s="58"/>
      <x:c r="C51" s="58"/>
      <x:c r="D51" s="58"/>
      <x:c r="E51" s="58"/>
      <x:c r="F51" s="58"/>
      <x:c r="G51" s="58"/>
      <x:c r="H51" s="58"/>
      <x:c r="I51" s="58"/>
      <x:c r="J51" s="58"/>
      <x:c r="K51" s="58"/>
      <x:c r="L51" s="58"/>
      <x:c r="M51" s="58"/>
      <x:c r="N51" s="58"/>
      <x:c r="O51" s="58"/>
      <x:c r="P51" s="58"/>
      <x:c r="Q51" s="58"/>
      <x:c r="R51" s="58"/>
      <x:c r="S51" s="58"/>
      <x:c r="T51" s="58"/>
      <x:c r="U51" s="58"/>
      <x:c r="V51" s="58"/>
      <x:c r="W51" s="58"/>
      <x:c r="X51" s="58"/>
      <x:c r="Y51" s="58"/>
      <x:c r="Z51" s="58"/>
    </x:row>
    <x:row r="52">
      <x:c r="A52" s="58"/>
      <x:c r="B52" s="58"/>
      <x:c r="C52" s="58"/>
      <x:c r="D52" s="58"/>
      <x:c r="E52" s="58"/>
      <x:c r="F52" s="58"/>
      <x:c r="G52" s="58"/>
      <x:c r="H52" s="58"/>
      <x:c r="I52" s="58"/>
      <x:c r="J52" s="58"/>
      <x:c r="K52" s="58"/>
      <x:c r="L52" s="58"/>
      <x:c r="M52" s="58"/>
      <x:c r="N52" s="58"/>
      <x:c r="O52" s="58"/>
      <x:c r="P52" s="58"/>
      <x:c r="Q52" s="58"/>
      <x:c r="R52" s="58"/>
      <x:c r="S52" s="58"/>
      <x:c r="T52" s="58"/>
      <x:c r="U52" s="58"/>
      <x:c r="V52" s="58"/>
      <x:c r="W52" s="58"/>
      <x:c r="X52" s="58"/>
      <x:c r="Y52" s="58"/>
      <x:c r="Z52" s="58"/>
    </x:row>
    <x:row r="53">
      <x:c r="A53" s="58"/>
      <x:c r="B53" s="58"/>
      <x:c r="C53" s="58"/>
      <x:c r="D53" s="58"/>
      <x:c r="E53" s="58"/>
      <x:c r="F53" s="58"/>
      <x:c r="G53" s="58"/>
      <x:c r="H53" s="58"/>
      <x:c r="I53" s="58"/>
      <x:c r="J53" s="58"/>
      <x:c r="K53" s="58"/>
      <x:c r="L53" s="58"/>
      <x:c r="M53" s="58"/>
      <x:c r="N53" s="58"/>
      <x:c r="O53" s="58"/>
      <x:c r="P53" s="58"/>
      <x:c r="Q53" s="58"/>
      <x:c r="R53" s="58"/>
      <x:c r="S53" s="58"/>
      <x:c r="T53" s="58"/>
      <x:c r="U53" s="58"/>
      <x:c r="V53" s="58"/>
      <x:c r="W53" s="58"/>
      <x:c r="X53" s="58"/>
      <x:c r="Y53" s="58"/>
      <x:c r="Z53" s="58"/>
    </x:row>
    <x:row r="54">
      <x:c r="A54" s="58"/>
      <x:c r="B54" s="58"/>
      <x:c r="C54" s="58"/>
      <x:c r="D54" s="58"/>
      <x:c r="E54" s="58"/>
      <x:c r="F54" s="58"/>
      <x:c r="G54" s="58"/>
      <x:c r="H54" s="58"/>
      <x:c r="I54" s="58"/>
      <x:c r="J54" s="58"/>
      <x:c r="K54" s="58"/>
      <x:c r="L54" s="58"/>
      <x:c r="M54" s="58"/>
      <x:c r="N54" s="58"/>
      <x:c r="O54" s="58"/>
      <x:c r="P54" s="58"/>
      <x:c r="Q54" s="58"/>
      <x:c r="R54" s="58"/>
      <x:c r="S54" s="58"/>
      <x:c r="T54" s="58"/>
      <x:c r="U54" s="58"/>
      <x:c r="V54" s="58"/>
      <x:c r="W54" s="58"/>
      <x:c r="X54" s="58"/>
      <x:c r="Y54" s="58"/>
      <x:c r="Z54" s="58"/>
    </x:row>
    <x:row r="55">
      <x:c r="A55" s="58"/>
      <x:c r="B55" s="58"/>
      <x:c r="C55" s="58"/>
      <x:c r="D55" s="58"/>
      <x:c r="E55" s="58"/>
      <x:c r="F55" s="58"/>
      <x:c r="G55" s="58"/>
      <x:c r="H55" s="58"/>
      <x:c r="I55" s="58"/>
      <x:c r="J55" s="58"/>
      <x:c r="K55" s="58"/>
      <x:c r="L55" s="58"/>
      <x:c r="M55" s="58"/>
      <x:c r="N55" s="58"/>
      <x:c r="O55" s="58"/>
      <x:c r="P55" s="58"/>
      <x:c r="Q55" s="58"/>
      <x:c r="R55" s="58"/>
      <x:c r="S55" s="58"/>
      <x:c r="T55" s="58"/>
      <x:c r="U55" s="58"/>
      <x:c r="V55" s="58"/>
      <x:c r="W55" s="58"/>
      <x:c r="X55" s="58"/>
      <x:c r="Y55" s="58"/>
      <x:c r="Z55" s="58"/>
    </x:row>
    <x:row r="56">
      <x:c r="A56" s="58"/>
      <x:c r="B56" s="58"/>
      <x:c r="C56" s="58"/>
      <x:c r="D56" s="58"/>
      <x:c r="E56" s="58"/>
      <x:c r="F56" s="58"/>
      <x:c r="G56" s="58"/>
      <x:c r="H56" s="58"/>
      <x:c r="I56" s="58"/>
      <x:c r="J56" s="58"/>
      <x:c r="K56" s="58"/>
      <x:c r="L56" s="58"/>
      <x:c r="M56" s="58"/>
      <x:c r="N56" s="58"/>
      <x:c r="O56" s="58"/>
      <x:c r="P56" s="58"/>
      <x:c r="Q56" s="58"/>
      <x:c r="R56" s="58"/>
      <x:c r="S56" s="58"/>
      <x:c r="T56" s="58"/>
      <x:c r="U56" s="58"/>
      <x:c r="V56" s="58"/>
      <x:c r="W56" s="58"/>
      <x:c r="X56" s="58"/>
      <x:c r="Y56" s="58"/>
      <x:c r="Z56" s="58"/>
    </x:row>
    <x:row r="57">
      <x:c r="A57" s="58"/>
      <x:c r="B57" s="58"/>
      <x:c r="C57" s="58"/>
      <x:c r="D57" s="58"/>
      <x:c r="E57" s="58"/>
      <x:c r="F57" s="58"/>
      <x:c r="G57" s="58"/>
      <x:c r="H57" s="58"/>
      <x:c r="I57" s="58"/>
      <x:c r="J57" s="58"/>
      <x:c r="K57" s="58"/>
      <x:c r="L57" s="58"/>
      <x:c r="M57" s="58"/>
      <x:c r="N57" s="58"/>
      <x:c r="O57" s="58"/>
      <x:c r="P57" s="58"/>
      <x:c r="Q57" s="58"/>
      <x:c r="R57" s="58"/>
      <x:c r="S57" s="58"/>
      <x:c r="T57" s="58"/>
      <x:c r="U57" s="58"/>
      <x:c r="V57" s="58"/>
      <x:c r="W57" s="58"/>
      <x:c r="X57" s="58"/>
      <x:c r="Y57" s="58"/>
      <x:c r="Z57" s="58"/>
    </x:row>
    <x:row r="58">
      <x:c r="A58" s="58"/>
      <x:c r="B58" s="58"/>
      <x:c r="C58" s="58"/>
      <x:c r="D58" s="58"/>
      <x:c r="E58" s="58"/>
      <x:c r="F58" s="58"/>
      <x:c r="G58" s="58"/>
      <x:c r="H58" s="58"/>
      <x:c r="I58" s="58"/>
      <x:c r="J58" s="58"/>
      <x:c r="K58" s="58"/>
      <x:c r="L58" s="58"/>
      <x:c r="M58" s="58"/>
      <x:c r="N58" s="58"/>
      <x:c r="O58" s="58"/>
      <x:c r="P58" s="58"/>
      <x:c r="Q58" s="58"/>
      <x:c r="R58" s="58"/>
      <x:c r="S58" s="58"/>
      <x:c r="T58" s="58"/>
      <x:c r="U58" s="58"/>
      <x:c r="V58" s="58"/>
      <x:c r="W58" s="58"/>
      <x:c r="X58" s="58"/>
      <x:c r="Y58" s="58"/>
      <x:c r="Z58" s="58"/>
    </x:row>
    <x:row r="59">
      <x:c r="A59" s="58"/>
      <x:c r="B59" s="58"/>
      <x:c r="C59" s="58"/>
      <x:c r="D59" s="58"/>
      <x:c r="E59" s="58"/>
      <x:c r="F59" s="58"/>
      <x:c r="G59" s="58"/>
      <x:c r="H59" s="58"/>
      <x:c r="I59" s="58"/>
      <x:c r="J59" s="58"/>
      <x:c r="K59" s="58"/>
      <x:c r="L59" s="58"/>
      <x:c r="M59" s="58"/>
      <x:c r="N59" s="58"/>
      <x:c r="O59" s="58"/>
      <x:c r="P59" s="58"/>
      <x:c r="Q59" s="58"/>
      <x:c r="R59" s="58"/>
      <x:c r="S59" s="58"/>
      <x:c r="T59" s="58"/>
      <x:c r="U59" s="58"/>
      <x:c r="V59" s="58"/>
      <x:c r="W59" s="58"/>
      <x:c r="X59" s="58"/>
      <x:c r="Y59" s="58"/>
      <x:c r="Z59" s="58"/>
    </x:row>
    <x:row r="60">
      <x:c r="A60" s="58"/>
      <x:c r="B60" s="58"/>
      <x:c r="C60" s="58"/>
      <x:c r="D60" s="58"/>
      <x:c r="E60" s="58"/>
      <x:c r="F60" s="58"/>
      <x:c r="G60" s="58"/>
      <x:c r="H60" s="58"/>
      <x:c r="I60" s="58"/>
      <x:c r="J60" s="58"/>
      <x:c r="K60" s="58"/>
      <x:c r="L60" s="58"/>
      <x:c r="M60" s="58"/>
      <x:c r="N60" s="58"/>
      <x:c r="O60" s="58"/>
      <x:c r="P60" s="58"/>
      <x:c r="Q60" s="58"/>
      <x:c r="R60" s="58"/>
      <x:c r="S60" s="58"/>
      <x:c r="T60" s="58"/>
      <x:c r="U60" s="58"/>
      <x:c r="V60" s="58"/>
      <x:c r="W60" s="58"/>
      <x:c r="X60" s="58"/>
      <x:c r="Y60" s="58"/>
      <x:c r="Z60" s="58"/>
    </x:row>
    <x:row r="61">
      <x:c r="A61" s="58"/>
      <x:c r="B61" s="58"/>
      <x:c r="C61" s="58"/>
      <x:c r="D61" s="58"/>
      <x:c r="E61" s="58"/>
      <x:c r="F61" s="58"/>
      <x:c r="G61" s="58"/>
      <x:c r="H61" s="58"/>
      <x:c r="I61" s="58"/>
      <x:c r="J61" s="58"/>
      <x:c r="K61" s="58"/>
      <x:c r="L61" s="58"/>
      <x:c r="M61" s="58"/>
      <x:c r="N61" s="58"/>
      <x:c r="O61" s="58"/>
      <x:c r="P61" s="58"/>
      <x:c r="Q61" s="58"/>
      <x:c r="R61" s="58"/>
      <x:c r="S61" s="58"/>
      <x:c r="T61" s="58"/>
      <x:c r="U61" s="58"/>
      <x:c r="V61" s="58"/>
      <x:c r="W61" s="58"/>
      <x:c r="X61" s="58"/>
      <x:c r="Y61" s="58"/>
      <x:c r="Z61" s="58"/>
    </x:row>
    <x:row r="62">
      <x:c r="A62" s="58"/>
      <x:c r="B62" s="58"/>
      <x:c r="C62" s="58"/>
      <x:c r="D62" s="58"/>
      <x:c r="E62" s="58"/>
      <x:c r="F62" s="58"/>
      <x:c r="G62" s="58"/>
      <x:c r="H62" s="58"/>
      <x:c r="I62" s="58"/>
      <x:c r="J62" s="58"/>
      <x:c r="K62" s="58"/>
      <x:c r="L62" s="58"/>
      <x:c r="M62" s="58"/>
      <x:c r="N62" s="58"/>
      <x:c r="O62" s="58"/>
      <x:c r="P62" s="58"/>
      <x:c r="Q62" s="58"/>
      <x:c r="R62" s="58"/>
      <x:c r="S62" s="58"/>
      <x:c r="T62" s="58"/>
      <x:c r="U62" s="58"/>
      <x:c r="V62" s="58"/>
      <x:c r="W62" s="58"/>
      <x:c r="X62" s="58"/>
      <x:c r="Y62" s="58"/>
      <x:c r="Z62" s="58"/>
    </x:row>
    <x:row r="63">
      <x:c r="A63" s="58"/>
      <x:c r="B63" s="58"/>
      <x:c r="C63" s="58"/>
      <x:c r="D63" s="58"/>
      <x:c r="E63" s="58"/>
      <x:c r="F63" s="58"/>
      <x:c r="G63" s="58"/>
      <x:c r="H63" s="58"/>
      <x:c r="I63" s="58"/>
      <x:c r="J63" s="58"/>
      <x:c r="K63" s="58"/>
      <x:c r="L63" s="58"/>
      <x:c r="M63" s="58"/>
      <x:c r="N63" s="58"/>
      <x:c r="O63" s="58"/>
      <x:c r="P63" s="58"/>
      <x:c r="Q63" s="58"/>
      <x:c r="R63" s="58"/>
      <x:c r="S63" s="58"/>
      <x:c r="T63" s="58"/>
      <x:c r="U63" s="58"/>
      <x:c r="V63" s="58"/>
      <x:c r="W63" s="58"/>
      <x:c r="X63" s="58"/>
      <x:c r="Y63" s="58"/>
      <x:c r="Z63" s="58"/>
    </x:row>
    <x:row r="64">
      <x:c r="A64" s="58"/>
      <x:c r="B64" s="58"/>
      <x:c r="C64" s="58"/>
      <x:c r="D64" s="58"/>
      <x:c r="E64" s="58"/>
      <x:c r="F64" s="58"/>
      <x:c r="G64" s="58"/>
      <x:c r="H64" s="58"/>
      <x:c r="I64" s="58"/>
      <x:c r="J64" s="58"/>
      <x:c r="K64" s="58"/>
      <x:c r="L64" s="58"/>
      <x:c r="M64" s="58"/>
      <x:c r="N64" s="58"/>
      <x:c r="O64" s="58"/>
      <x:c r="P64" s="58"/>
      <x:c r="Q64" s="58"/>
      <x:c r="R64" s="58"/>
      <x:c r="S64" s="58"/>
      <x:c r="T64" s="58"/>
      <x:c r="U64" s="58"/>
      <x:c r="V64" s="58"/>
      <x:c r="W64" s="58"/>
      <x:c r="X64" s="58"/>
      <x:c r="Y64" s="58"/>
      <x:c r="Z64" s="58"/>
    </x:row>
    <x:row r="65">
      <x:c r="A65" s="58"/>
      <x:c r="B65" s="58"/>
      <x:c r="C65" s="58"/>
      <x:c r="D65" s="58"/>
      <x:c r="E65" s="58"/>
      <x:c r="F65" s="58"/>
      <x:c r="G65" s="58"/>
      <x:c r="H65" s="58"/>
      <x:c r="I65" s="58"/>
      <x:c r="J65" s="58"/>
      <x:c r="K65" s="58"/>
      <x:c r="L65" s="58"/>
      <x:c r="M65" s="58"/>
      <x:c r="N65" s="58"/>
      <x:c r="O65" s="58"/>
      <x:c r="P65" s="58"/>
      <x:c r="Q65" s="58"/>
      <x:c r="R65" s="58"/>
      <x:c r="S65" s="58"/>
      <x:c r="T65" s="58"/>
      <x:c r="U65" s="58"/>
      <x:c r="V65" s="58"/>
      <x:c r="W65" s="58"/>
      <x:c r="X65" s="58"/>
      <x:c r="Y65" s="58"/>
      <x:c r="Z65" s="58"/>
    </x:row>
    <x:row r="66">
      <x:c r="A66" s="58"/>
      <x:c r="B66" s="58"/>
      <x:c r="C66" s="58"/>
      <x:c r="D66" s="58"/>
      <x:c r="E66" s="58"/>
      <x:c r="F66" s="58"/>
      <x:c r="G66" s="58"/>
      <x:c r="H66" s="58"/>
      <x:c r="I66" s="58"/>
      <x:c r="J66" s="58"/>
      <x:c r="K66" s="58"/>
      <x:c r="L66" s="58"/>
      <x:c r="M66" s="58"/>
      <x:c r="N66" s="58"/>
      <x:c r="O66" s="58"/>
      <x:c r="P66" s="58"/>
      <x:c r="Q66" s="58"/>
      <x:c r="R66" s="58"/>
      <x:c r="S66" s="58"/>
      <x:c r="T66" s="58"/>
      <x:c r="U66" s="58"/>
      <x:c r="V66" s="58"/>
      <x:c r="W66" s="58"/>
      <x:c r="X66" s="58"/>
      <x:c r="Y66" s="58"/>
      <x:c r="Z66" s="58"/>
    </x:row>
    <x:row r="67">
      <x:c r="A67" s="58"/>
      <x:c r="B67" s="58"/>
      <x:c r="C67" s="58"/>
      <x:c r="D67" s="58"/>
      <x:c r="E67" s="58"/>
      <x:c r="F67" s="58"/>
      <x:c r="G67" s="58"/>
      <x:c r="H67" s="58"/>
      <x:c r="I67" s="58"/>
      <x:c r="J67" s="58"/>
      <x:c r="K67" s="58"/>
      <x:c r="L67" s="58"/>
      <x:c r="M67" s="58"/>
      <x:c r="N67" s="58"/>
      <x:c r="O67" s="58"/>
      <x:c r="P67" s="58"/>
      <x:c r="Q67" s="58"/>
      <x:c r="R67" s="58"/>
      <x:c r="S67" s="58"/>
      <x:c r="T67" s="58"/>
      <x:c r="U67" s="58"/>
      <x:c r="V67" s="58"/>
      <x:c r="W67" s="58"/>
      <x:c r="X67" s="58"/>
      <x:c r="Y67" s="58"/>
      <x:c r="Z67" s="58"/>
    </x:row>
    <x:row r="68">
      <x:c r="A68" s="58"/>
      <x:c r="B68" s="58"/>
      <x:c r="C68" s="58"/>
      <x:c r="D68" s="58"/>
      <x:c r="E68" s="58"/>
      <x:c r="F68" s="58"/>
      <x:c r="G68" s="58"/>
      <x:c r="H68" s="58"/>
      <x:c r="I68" s="58"/>
      <x:c r="J68" s="58"/>
      <x:c r="K68" s="58"/>
      <x:c r="L68" s="58"/>
      <x:c r="M68" s="58"/>
      <x:c r="N68" s="58"/>
      <x:c r="O68" s="58"/>
      <x:c r="P68" s="58"/>
      <x:c r="Q68" s="58"/>
      <x:c r="R68" s="58"/>
      <x:c r="S68" s="58"/>
      <x:c r="T68" s="58"/>
      <x:c r="U68" s="58"/>
      <x:c r="V68" s="58"/>
      <x:c r="W68" s="58"/>
      <x:c r="X68" s="58"/>
      <x:c r="Y68" s="58"/>
      <x:c r="Z68" s="58"/>
    </x:row>
    <x:row r="69">
      <x:c r="A69" s="58"/>
      <x:c r="B69" s="58"/>
      <x:c r="C69" s="58"/>
      <x:c r="D69" s="58"/>
      <x:c r="E69" s="58"/>
      <x:c r="F69" s="58"/>
      <x:c r="G69" s="58"/>
      <x:c r="H69" s="58"/>
      <x:c r="I69" s="58"/>
      <x:c r="J69" s="58"/>
      <x:c r="K69" s="58"/>
      <x:c r="L69" s="58"/>
      <x:c r="M69" s="58"/>
      <x:c r="N69" s="58"/>
      <x:c r="O69" s="58"/>
      <x:c r="P69" s="58"/>
      <x:c r="Q69" s="58"/>
      <x:c r="R69" s="58"/>
      <x:c r="S69" s="58"/>
      <x:c r="T69" s="58"/>
      <x:c r="U69" s="58"/>
      <x:c r="V69" s="58"/>
      <x:c r="W69" s="58"/>
      <x:c r="X69" s="58"/>
      <x:c r="Y69" s="58"/>
      <x:c r="Z69" s="58"/>
    </x:row>
    <x:row r="70">
      <x:c r="A70" s="58"/>
      <x:c r="B70" s="58"/>
      <x:c r="C70" s="58"/>
      <x:c r="D70" s="58"/>
      <x:c r="E70" s="58"/>
      <x:c r="F70" s="58"/>
      <x:c r="G70" s="58"/>
      <x:c r="H70" s="58"/>
      <x:c r="I70" s="58"/>
      <x:c r="J70" s="58"/>
      <x:c r="K70" s="58"/>
      <x:c r="L70" s="58"/>
      <x:c r="M70" s="58"/>
      <x:c r="N70" s="58"/>
      <x:c r="O70" s="58"/>
      <x:c r="P70" s="58"/>
      <x:c r="Q70" s="58"/>
      <x:c r="R70" s="58"/>
      <x:c r="S70" s="58"/>
      <x:c r="T70" s="58"/>
      <x:c r="U70" s="58"/>
      <x:c r="V70" s="58"/>
      <x:c r="W70" s="58"/>
      <x:c r="X70" s="58"/>
      <x:c r="Y70" s="58"/>
      <x:c r="Z70" s="58"/>
    </x:row>
    <x:row r="71">
      <x:c r="A71" s="58"/>
      <x:c r="B71" s="58"/>
      <x:c r="C71" s="58"/>
      <x:c r="D71" s="58"/>
      <x:c r="E71" s="58"/>
      <x:c r="F71" s="58"/>
      <x:c r="G71" s="58"/>
      <x:c r="H71" s="58"/>
      <x:c r="I71" s="58"/>
      <x:c r="J71" s="58"/>
      <x:c r="K71" s="58"/>
      <x:c r="L71" s="58"/>
      <x:c r="M71" s="58"/>
      <x:c r="N71" s="58"/>
      <x:c r="O71" s="58"/>
      <x:c r="P71" s="58"/>
      <x:c r="Q71" s="58"/>
      <x:c r="R71" s="58"/>
      <x:c r="S71" s="58"/>
      <x:c r="T71" s="58"/>
      <x:c r="U71" s="58"/>
      <x:c r="V71" s="58"/>
      <x:c r="W71" s="58"/>
      <x:c r="X71" s="58"/>
      <x:c r="Y71" s="58"/>
      <x:c r="Z71" s="58"/>
    </x:row>
    <x:row r="72">
      <x:c r="A72" s="58"/>
      <x:c r="B72" s="58"/>
      <x:c r="C72" s="58"/>
      <x:c r="D72" s="58"/>
      <x:c r="E72" s="58"/>
      <x:c r="F72" s="58"/>
      <x:c r="G72" s="58"/>
      <x:c r="H72" s="58"/>
      <x:c r="I72" s="58"/>
      <x:c r="J72" s="58"/>
      <x:c r="K72" s="58"/>
      <x:c r="L72" s="58"/>
      <x:c r="M72" s="58"/>
      <x:c r="N72" s="58"/>
      <x:c r="O72" s="58"/>
      <x:c r="P72" s="58"/>
      <x:c r="Q72" s="58"/>
      <x:c r="R72" s="58"/>
      <x:c r="S72" s="58"/>
      <x:c r="T72" s="58"/>
      <x:c r="U72" s="58"/>
      <x:c r="V72" s="58"/>
      <x:c r="W72" s="58"/>
      <x:c r="X72" s="58"/>
      <x:c r="Y72" s="58"/>
      <x:c r="Z72" s="58"/>
    </x:row>
    <x:row r="73">
      <x:c r="A73" s="58"/>
      <x:c r="B73" s="58"/>
      <x:c r="C73" s="58"/>
      <x:c r="D73" s="58"/>
      <x:c r="E73" s="58"/>
      <x:c r="F73" s="58"/>
      <x:c r="G73" s="58"/>
      <x:c r="H73" s="58"/>
      <x:c r="I73" s="58"/>
      <x:c r="J73" s="58"/>
      <x:c r="K73" s="58"/>
      <x:c r="L73" s="58"/>
      <x:c r="M73" s="58"/>
      <x:c r="N73" s="58"/>
      <x:c r="O73" s="58"/>
      <x:c r="P73" s="58"/>
      <x:c r="Q73" s="58"/>
      <x:c r="R73" s="58"/>
      <x:c r="S73" s="58"/>
      <x:c r="T73" s="58"/>
      <x:c r="U73" s="58"/>
      <x:c r="V73" s="58"/>
      <x:c r="W73" s="58"/>
      <x:c r="X73" s="58"/>
      <x:c r="Y73" s="58"/>
      <x:c r="Z73" s="58"/>
    </x:row>
    <x:row r="74">
      <x:c r="A74" s="58"/>
      <x:c r="B74" s="58"/>
      <x:c r="C74" s="58"/>
      <x:c r="D74" s="58"/>
      <x:c r="E74" s="58"/>
      <x:c r="F74" s="58"/>
      <x:c r="G74" s="58"/>
      <x:c r="H74" s="58"/>
      <x:c r="I74" s="58"/>
      <x:c r="J74" s="58"/>
      <x:c r="K74" s="58"/>
      <x:c r="L74" s="58"/>
      <x:c r="M74" s="58"/>
      <x:c r="N74" s="58"/>
      <x:c r="O74" s="58"/>
      <x:c r="P74" s="58"/>
      <x:c r="Q74" s="58"/>
      <x:c r="R74" s="58"/>
      <x:c r="S74" s="58"/>
      <x:c r="T74" s="58"/>
      <x:c r="U74" s="58"/>
      <x:c r="V74" s="58"/>
      <x:c r="W74" s="58"/>
      <x:c r="X74" s="58"/>
      <x:c r="Y74" s="58"/>
      <x:c r="Z74" s="58"/>
    </x:row>
    <x:row r="75">
      <x:c r="A75" s="58"/>
      <x:c r="B75" s="58"/>
      <x:c r="C75" s="58"/>
      <x:c r="D75" s="58"/>
      <x:c r="E75" s="58"/>
      <x:c r="F75" s="58"/>
      <x:c r="G75" s="58"/>
      <x:c r="H75" s="58"/>
      <x:c r="I75" s="58"/>
      <x:c r="J75" s="58"/>
      <x:c r="K75" s="58"/>
      <x:c r="L75" s="58"/>
      <x:c r="M75" s="58"/>
      <x:c r="N75" s="58"/>
      <x:c r="O75" s="58"/>
      <x:c r="P75" s="58"/>
      <x:c r="Q75" s="58"/>
      <x:c r="R75" s="58"/>
      <x:c r="S75" s="58"/>
      <x:c r="T75" s="58"/>
      <x:c r="U75" s="58"/>
      <x:c r="V75" s="58"/>
      <x:c r="W75" s="58"/>
      <x:c r="X75" s="58"/>
      <x:c r="Y75" s="58"/>
      <x:c r="Z75" s="58"/>
    </x:row>
    <x:row r="76">
      <x:c r="A76" s="58"/>
      <x:c r="B76" s="58"/>
      <x:c r="C76" s="58"/>
      <x:c r="D76" s="58"/>
      <x:c r="E76" s="58"/>
      <x:c r="F76" s="58"/>
      <x:c r="G76" s="58"/>
      <x:c r="H76" s="58"/>
      <x:c r="I76" s="58"/>
      <x:c r="J76" s="58"/>
      <x:c r="K76" s="58"/>
      <x:c r="L76" s="58"/>
      <x:c r="M76" s="58"/>
      <x:c r="N76" s="58"/>
      <x:c r="O76" s="58"/>
      <x:c r="P76" s="58"/>
      <x:c r="Q76" s="58"/>
      <x:c r="R76" s="58"/>
      <x:c r="S76" s="58"/>
      <x:c r="T76" s="58"/>
      <x:c r="U76" s="58"/>
      <x:c r="V76" s="58"/>
      <x:c r="W76" s="58"/>
      <x:c r="X76" s="58"/>
      <x:c r="Y76" s="58"/>
      <x:c r="Z76" s="58"/>
    </x:row>
    <x:row r="77">
      <x:c r="A77" s="58"/>
      <x:c r="B77" s="58"/>
      <x:c r="C77" s="58"/>
      <x:c r="D77" s="58"/>
      <x:c r="E77" s="58"/>
      <x:c r="F77" s="58"/>
      <x:c r="G77" s="58"/>
      <x:c r="H77" s="58"/>
      <x:c r="I77" s="58"/>
      <x:c r="J77" s="58"/>
      <x:c r="K77" s="58"/>
      <x:c r="L77" s="58"/>
      <x:c r="M77" s="58"/>
      <x:c r="N77" s="58"/>
      <x:c r="O77" s="58"/>
      <x:c r="P77" s="58"/>
      <x:c r="Q77" s="58"/>
      <x:c r="R77" s="58"/>
      <x:c r="S77" s="58"/>
      <x:c r="T77" s="58"/>
      <x:c r="U77" s="58"/>
      <x:c r="V77" s="58"/>
      <x:c r="W77" s="58"/>
      <x:c r="X77" s="58"/>
      <x:c r="Y77" s="58"/>
      <x:c r="Z77" s="58"/>
    </x:row>
    <x:row r="78">
      <x:c r="A78" s="58"/>
      <x:c r="B78" s="58"/>
      <x:c r="C78" s="58"/>
      <x:c r="D78" s="58"/>
      <x:c r="E78" s="58"/>
      <x:c r="F78" s="58"/>
      <x:c r="G78" s="58"/>
      <x:c r="H78" s="58"/>
      <x:c r="I78" s="58"/>
      <x:c r="J78" s="58"/>
      <x:c r="K78" s="58"/>
      <x:c r="L78" s="58"/>
      <x:c r="M78" s="58"/>
      <x:c r="N78" s="58"/>
      <x:c r="O78" s="58"/>
      <x:c r="P78" s="58"/>
      <x:c r="Q78" s="58"/>
      <x:c r="R78" s="58"/>
      <x:c r="S78" s="58"/>
      <x:c r="T78" s="58"/>
      <x:c r="U78" s="58"/>
      <x:c r="V78" s="58"/>
      <x:c r="W78" s="58"/>
      <x:c r="X78" s="58"/>
      <x:c r="Y78" s="58"/>
      <x:c r="Z78" s="58"/>
    </x:row>
    <x:row r="79">
      <x:c r="A79" s="58"/>
      <x:c r="B79" s="58"/>
      <x:c r="C79" s="58"/>
      <x:c r="D79" s="58"/>
      <x:c r="E79" s="58"/>
      <x:c r="F79" s="58"/>
      <x:c r="G79" s="58"/>
      <x:c r="H79" s="58"/>
      <x:c r="I79" s="58"/>
      <x:c r="J79" s="58"/>
      <x:c r="K79" s="58"/>
      <x:c r="L79" s="58"/>
      <x:c r="M79" s="58"/>
      <x:c r="N79" s="58"/>
      <x:c r="O79" s="58"/>
      <x:c r="P79" s="58"/>
      <x:c r="Q79" s="58"/>
      <x:c r="R79" s="58"/>
      <x:c r="S79" s="58"/>
      <x:c r="T79" s="58"/>
      <x:c r="U79" s="58"/>
      <x:c r="V79" s="58"/>
      <x:c r="W79" s="58"/>
      <x:c r="X79" s="58"/>
      <x:c r="Y79" s="58"/>
      <x:c r="Z79" s="58"/>
    </x:row>
    <x:row r="80">
      <x:c r="A80" s="58"/>
      <x:c r="B80" s="58"/>
      <x:c r="C80" s="58"/>
      <x:c r="D80" s="58"/>
      <x:c r="E80" s="58"/>
      <x:c r="F80" s="58"/>
      <x:c r="G80" s="58"/>
      <x:c r="H80" s="58"/>
      <x:c r="I80" s="58"/>
      <x:c r="J80" s="58"/>
      <x:c r="K80" s="58"/>
      <x:c r="L80" s="58"/>
      <x:c r="M80" s="58"/>
      <x:c r="N80" s="58"/>
      <x:c r="O80" s="58"/>
      <x:c r="P80" s="58"/>
      <x:c r="Q80" s="58"/>
      <x:c r="R80" s="58"/>
      <x:c r="S80" s="58"/>
      <x:c r="T80" s="58"/>
      <x:c r="U80" s="58"/>
      <x:c r="V80" s="58"/>
      <x:c r="W80" s="58"/>
      <x:c r="X80" s="58"/>
      <x:c r="Y80" s="58"/>
      <x:c r="Z80" s="58"/>
    </x:row>
    <x:row r="81">
      <x:c r="A81" s="58"/>
      <x:c r="B81" s="58"/>
      <x:c r="C81" s="58"/>
      <x:c r="D81" s="58"/>
      <x:c r="E81" s="58"/>
      <x:c r="F81" s="58"/>
      <x:c r="G81" s="58"/>
      <x:c r="H81" s="58"/>
      <x:c r="I81" s="58"/>
      <x:c r="J81" s="58"/>
      <x:c r="K81" s="58"/>
      <x:c r="L81" s="58"/>
      <x:c r="M81" s="58"/>
      <x:c r="N81" s="58"/>
      <x:c r="O81" s="58"/>
      <x:c r="P81" s="58"/>
      <x:c r="Q81" s="58"/>
      <x:c r="R81" s="58"/>
      <x:c r="S81" s="58"/>
      <x:c r="T81" s="58"/>
      <x:c r="U81" s="58"/>
      <x:c r="V81" s="58"/>
      <x:c r="W81" s="58"/>
      <x:c r="X81" s="58"/>
      <x:c r="Y81" s="58"/>
      <x:c r="Z81" s="58"/>
    </x:row>
    <x:row r="82">
      <x:c r="A82" s="58"/>
      <x:c r="B82" s="58"/>
      <x:c r="C82" s="58"/>
      <x:c r="D82" s="58"/>
      <x:c r="E82" s="58"/>
      <x:c r="F82" s="58"/>
      <x:c r="G82" s="58"/>
      <x:c r="H82" s="58"/>
      <x:c r="I82" s="58"/>
      <x:c r="J82" s="58"/>
      <x:c r="K82" s="58"/>
      <x:c r="L82" s="58"/>
      <x:c r="M82" s="58"/>
      <x:c r="N82" s="58"/>
      <x:c r="O82" s="58"/>
      <x:c r="P82" s="58"/>
      <x:c r="Q82" s="58"/>
      <x:c r="R82" s="58"/>
      <x:c r="S82" s="58"/>
      <x:c r="T82" s="58"/>
      <x:c r="U82" s="58"/>
      <x:c r="V82" s="58"/>
      <x:c r="W82" s="58"/>
      <x:c r="X82" s="58"/>
      <x:c r="Y82" s="58"/>
      <x:c r="Z82" s="58"/>
    </x:row>
    <x:row r="83">
      <x:c r="A83" s="58"/>
      <x:c r="B83" s="58"/>
      <x:c r="C83" s="58"/>
      <x:c r="D83" s="58"/>
      <x:c r="E83" s="58"/>
      <x:c r="F83" s="58"/>
      <x:c r="G83" s="58"/>
      <x:c r="H83" s="58"/>
      <x:c r="I83" s="58"/>
      <x:c r="J83" s="58"/>
      <x:c r="K83" s="58"/>
      <x:c r="L83" s="58"/>
      <x:c r="M83" s="58"/>
      <x:c r="N83" s="58"/>
      <x:c r="O83" s="58"/>
      <x:c r="P83" s="58"/>
      <x:c r="Q83" s="58"/>
      <x:c r="R83" s="58"/>
      <x:c r="S83" s="58"/>
      <x:c r="T83" s="58"/>
      <x:c r="U83" s="58"/>
      <x:c r="V83" s="58"/>
      <x:c r="W83" s="58"/>
      <x:c r="X83" s="58"/>
      <x:c r="Y83" s="58"/>
      <x:c r="Z83" s="58"/>
    </x:row>
    <x:row r="84">
      <x:c r="A84" s="58"/>
      <x:c r="B84" s="58"/>
      <x:c r="C84" s="58"/>
      <x:c r="D84" s="58"/>
      <x:c r="E84" s="58"/>
      <x:c r="F84" s="58"/>
      <x:c r="G84" s="58"/>
      <x:c r="H84" s="58"/>
      <x:c r="I84" s="58"/>
      <x:c r="J84" s="58"/>
      <x:c r="K84" s="58"/>
      <x:c r="L84" s="58"/>
      <x:c r="M84" s="58"/>
      <x:c r="N84" s="58"/>
      <x:c r="O84" s="58"/>
      <x:c r="P84" s="58"/>
      <x:c r="Q84" s="58"/>
      <x:c r="R84" s="58"/>
      <x:c r="S84" s="58"/>
      <x:c r="T84" s="58"/>
      <x:c r="U84" s="58"/>
      <x:c r="V84" s="58"/>
      <x:c r="W84" s="58"/>
      <x:c r="X84" s="58"/>
      <x:c r="Y84" s="58"/>
      <x:c r="Z84" s="58"/>
    </x:row>
    <x:row r="85">
      <x:c r="A85" s="58"/>
      <x:c r="B85" s="58"/>
      <x:c r="C85" s="58"/>
      <x:c r="D85" s="58"/>
      <x:c r="E85" s="58"/>
      <x:c r="F85" s="58"/>
      <x:c r="G85" s="58"/>
      <x:c r="H85" s="58"/>
      <x:c r="I85" s="58"/>
      <x:c r="J85" s="58"/>
      <x:c r="K85" s="58"/>
      <x:c r="L85" s="58"/>
      <x:c r="M85" s="58"/>
      <x:c r="N85" s="58"/>
      <x:c r="O85" s="58"/>
      <x:c r="P85" s="58"/>
      <x:c r="Q85" s="58"/>
      <x:c r="R85" s="58"/>
      <x:c r="S85" s="58"/>
      <x:c r="T85" s="58"/>
      <x:c r="U85" s="58"/>
      <x:c r="V85" s="58"/>
      <x:c r="W85" s="58"/>
      <x:c r="X85" s="58"/>
      <x:c r="Y85" s="58"/>
      <x:c r="Z85" s="58"/>
    </x:row>
    <x:row r="86">
      <x:c r="A86" s="58"/>
      <x:c r="B86" s="58"/>
      <x:c r="C86" s="58"/>
      <x:c r="D86" s="58"/>
      <x:c r="E86" s="58"/>
      <x:c r="F86" s="58"/>
      <x:c r="G86" s="58"/>
      <x:c r="H86" s="58"/>
      <x:c r="I86" s="58"/>
      <x:c r="J86" s="58"/>
      <x:c r="K86" s="58"/>
      <x:c r="L86" s="58"/>
      <x:c r="M86" s="58"/>
      <x:c r="N86" s="58"/>
      <x:c r="O86" s="58"/>
      <x:c r="P86" s="58"/>
      <x:c r="Q86" s="58"/>
      <x:c r="R86" s="58"/>
      <x:c r="S86" s="58"/>
      <x:c r="T86" s="58"/>
      <x:c r="U86" s="58"/>
      <x:c r="V86" s="58"/>
      <x:c r="W86" s="58"/>
      <x:c r="X86" s="58"/>
      <x:c r="Y86" s="58"/>
      <x:c r="Z86" s="58"/>
    </x:row>
    <x:row r="87">
      <x:c r="A87" s="58"/>
      <x:c r="B87" s="58"/>
      <x:c r="C87" s="58"/>
      <x:c r="D87" s="58"/>
      <x:c r="E87" s="58"/>
      <x:c r="F87" s="58"/>
      <x:c r="G87" s="58"/>
      <x:c r="H87" s="58"/>
      <x:c r="I87" s="58"/>
      <x:c r="J87" s="58"/>
      <x:c r="K87" s="58"/>
      <x:c r="L87" s="58"/>
      <x:c r="M87" s="58"/>
      <x:c r="N87" s="58"/>
      <x:c r="O87" s="58"/>
      <x:c r="P87" s="58"/>
      <x:c r="Q87" s="58"/>
      <x:c r="R87" s="58"/>
      <x:c r="S87" s="58"/>
      <x:c r="T87" s="58"/>
      <x:c r="U87" s="58"/>
      <x:c r="V87" s="58"/>
      <x:c r="W87" s="58"/>
      <x:c r="X87" s="58"/>
      <x:c r="Y87" s="58"/>
      <x:c r="Z87" s="58"/>
    </x:row>
    <x:row r="88">
      <x:c r="A88" s="58"/>
      <x:c r="B88" s="58"/>
      <x:c r="C88" s="58"/>
      <x:c r="D88" s="58"/>
      <x:c r="E88" s="58"/>
      <x:c r="F88" s="58"/>
      <x:c r="G88" s="58"/>
      <x:c r="H88" s="58"/>
      <x:c r="I88" s="58"/>
      <x:c r="J88" s="58"/>
      <x:c r="K88" s="58"/>
      <x:c r="L88" s="58"/>
      <x:c r="M88" s="58"/>
      <x:c r="N88" s="58"/>
      <x:c r="O88" s="58"/>
      <x:c r="P88" s="58"/>
      <x:c r="Q88" s="58"/>
      <x:c r="R88" s="58"/>
      <x:c r="S88" s="58"/>
      <x:c r="T88" s="58"/>
      <x:c r="U88" s="58"/>
      <x:c r="V88" s="58"/>
      <x:c r="W88" s="58"/>
      <x:c r="X88" s="58"/>
      <x:c r="Y88" s="58"/>
      <x:c r="Z88" s="58"/>
    </x:row>
    <x:row r="89">
      <x:c r="A89" s="58"/>
      <x:c r="B89" s="58"/>
      <x:c r="C89" s="58"/>
      <x:c r="D89" s="58"/>
      <x:c r="E89" s="58"/>
      <x:c r="F89" s="58"/>
      <x:c r="G89" s="58"/>
      <x:c r="H89" s="58"/>
      <x:c r="I89" s="58"/>
      <x:c r="J89" s="58"/>
      <x:c r="K89" s="58"/>
      <x:c r="L89" s="58"/>
      <x:c r="M89" s="58"/>
      <x:c r="N89" s="58"/>
      <x:c r="O89" s="58"/>
      <x:c r="P89" s="58"/>
      <x:c r="Q89" s="58"/>
      <x:c r="R89" s="58"/>
      <x:c r="S89" s="58"/>
      <x:c r="T89" s="58"/>
      <x:c r="U89" s="58"/>
      <x:c r="V89" s="58"/>
      <x:c r="W89" s="58"/>
      <x:c r="X89" s="58"/>
      <x:c r="Y89" s="58"/>
      <x:c r="Z89" s="58"/>
    </x:row>
    <x:row r="90">
      <x:c r="A90" s="58"/>
      <x:c r="B90" s="58"/>
      <x:c r="C90" s="58"/>
      <x:c r="D90" s="58"/>
      <x:c r="E90" s="58"/>
      <x:c r="F90" s="58"/>
      <x:c r="G90" s="58"/>
      <x:c r="H90" s="58"/>
      <x:c r="I90" s="58"/>
      <x:c r="J90" s="58"/>
      <x:c r="K90" s="58"/>
      <x:c r="L90" s="58"/>
      <x:c r="M90" s="58"/>
      <x:c r="N90" s="58"/>
      <x:c r="O90" s="58"/>
      <x:c r="P90" s="58"/>
      <x:c r="Q90" s="58"/>
      <x:c r="R90" s="58"/>
      <x:c r="S90" s="58"/>
      <x:c r="T90" s="58"/>
      <x:c r="U90" s="58"/>
      <x:c r="V90" s="58"/>
      <x:c r="W90" s="58"/>
      <x:c r="X90" s="58"/>
      <x:c r="Y90" s="58"/>
      <x:c r="Z90" s="58"/>
    </x:row>
    <x:row r="91">
      <x:c r="A91" s="58"/>
      <x:c r="B91" s="58"/>
      <x:c r="C91" s="58"/>
      <x:c r="D91" s="58"/>
      <x:c r="E91" s="58"/>
      <x:c r="F91" s="58"/>
      <x:c r="G91" s="58"/>
      <x:c r="H91" s="58"/>
      <x:c r="I91" s="58"/>
      <x:c r="J91" s="58"/>
      <x:c r="K91" s="58"/>
      <x:c r="L91" s="58"/>
      <x:c r="M91" s="58"/>
      <x:c r="N91" s="58"/>
      <x:c r="O91" s="58"/>
      <x:c r="P91" s="58"/>
      <x:c r="Q91" s="58"/>
      <x:c r="R91" s="58"/>
      <x:c r="S91" s="58"/>
      <x:c r="T91" s="58"/>
      <x:c r="U91" s="58"/>
      <x:c r="V91" s="58"/>
      <x:c r="W91" s="58"/>
      <x:c r="X91" s="58"/>
      <x:c r="Y91" s="58"/>
      <x:c r="Z91" s="58"/>
    </x:row>
    <x:row r="92">
      <x:c r="A92" s="58"/>
      <x:c r="B92" s="58"/>
      <x:c r="C92" s="58"/>
      <x:c r="D92" s="58"/>
      <x:c r="E92" s="58"/>
      <x:c r="F92" s="58"/>
      <x:c r="G92" s="58"/>
      <x:c r="H92" s="58"/>
      <x:c r="I92" s="58"/>
      <x:c r="J92" s="58"/>
      <x:c r="K92" s="58"/>
      <x:c r="L92" s="58"/>
      <x:c r="M92" s="58"/>
      <x:c r="N92" s="58"/>
      <x:c r="O92" s="58"/>
      <x:c r="P92" s="58"/>
      <x:c r="Q92" s="58"/>
      <x:c r="R92" s="58"/>
      <x:c r="S92" s="58"/>
      <x:c r="T92" s="58"/>
      <x:c r="U92" s="58"/>
      <x:c r="V92" s="58"/>
      <x:c r="W92" s="58"/>
      <x:c r="X92" s="58"/>
      <x:c r="Y92" s="58"/>
      <x:c r="Z92" s="58"/>
    </x:row>
    <x:row r="93">
      <x:c r="A93" s="58"/>
      <x:c r="B93" s="58"/>
      <x:c r="C93" s="58"/>
      <x:c r="D93" s="58"/>
      <x:c r="E93" s="58"/>
      <x:c r="F93" s="58"/>
      <x:c r="G93" s="58"/>
      <x:c r="H93" s="58"/>
      <x:c r="I93" s="58"/>
      <x:c r="J93" s="58"/>
      <x:c r="K93" s="58"/>
      <x:c r="L93" s="58"/>
      <x:c r="M93" s="58"/>
      <x:c r="N93" s="58"/>
      <x:c r="O93" s="58"/>
      <x:c r="P93" s="58"/>
      <x:c r="Q93" s="58"/>
      <x:c r="R93" s="58"/>
      <x:c r="S93" s="58"/>
      <x:c r="T93" s="58"/>
      <x:c r="U93" s="58"/>
      <x:c r="V93" s="58"/>
      <x:c r="W93" s="58"/>
      <x:c r="X93" s="58"/>
      <x:c r="Y93" s="58"/>
      <x:c r="Z93" s="58"/>
    </x:row>
    <x:row r="94">
      <x:c r="A94" s="58"/>
      <x:c r="B94" s="58"/>
      <x:c r="C94" s="58"/>
      <x:c r="D94" s="58"/>
      <x:c r="E94" s="58"/>
      <x:c r="F94" s="58"/>
      <x:c r="G94" s="58"/>
      <x:c r="H94" s="58"/>
      <x:c r="I94" s="58"/>
      <x:c r="J94" s="58"/>
      <x:c r="K94" s="58"/>
      <x:c r="L94" s="58"/>
      <x:c r="M94" s="58"/>
      <x:c r="N94" s="58"/>
      <x:c r="O94" s="58"/>
      <x:c r="P94" s="58"/>
      <x:c r="Q94" s="58"/>
      <x:c r="R94" s="58"/>
      <x:c r="S94" s="58"/>
      <x:c r="T94" s="58"/>
      <x:c r="U94" s="58"/>
      <x:c r="V94" s="58"/>
      <x:c r="W94" s="58"/>
      <x:c r="X94" s="58"/>
      <x:c r="Y94" s="58"/>
      <x:c r="Z94" s="58"/>
    </x:row>
    <x:row r="95">
      <x:c r="A95" s="58"/>
      <x:c r="B95" s="58"/>
      <x:c r="C95" s="58"/>
      <x:c r="D95" s="58"/>
      <x:c r="E95" s="58"/>
      <x:c r="F95" s="58"/>
      <x:c r="G95" s="58"/>
      <x:c r="H95" s="58"/>
      <x:c r="I95" s="58"/>
      <x:c r="J95" s="58"/>
      <x:c r="K95" s="58"/>
      <x:c r="L95" s="58"/>
      <x:c r="M95" s="58"/>
      <x:c r="N95" s="58"/>
      <x:c r="O95" s="58"/>
      <x:c r="P95" s="58"/>
      <x:c r="Q95" s="58"/>
      <x:c r="R95" s="58"/>
      <x:c r="S95" s="58"/>
      <x:c r="T95" s="58"/>
      <x:c r="U95" s="58"/>
      <x:c r="V95" s="58"/>
      <x:c r="W95" s="58"/>
      <x:c r="X95" s="58"/>
      <x:c r="Y95" s="58"/>
      <x:c r="Z95" s="58"/>
    </x:row>
    <x:row r="96">
      <x:c r="A96" s="58"/>
      <x:c r="B96" s="58"/>
      <x:c r="C96" s="58"/>
      <x:c r="D96" s="58"/>
      <x:c r="E96" s="58"/>
      <x:c r="F96" s="58"/>
      <x:c r="G96" s="58"/>
      <x:c r="H96" s="58"/>
      <x:c r="I96" s="58"/>
      <x:c r="J96" s="58"/>
      <x:c r="K96" s="58"/>
      <x:c r="L96" s="58"/>
      <x:c r="M96" s="58"/>
      <x:c r="N96" s="58"/>
      <x:c r="O96" s="58"/>
      <x:c r="P96" s="58"/>
      <x:c r="Q96" s="58"/>
      <x:c r="R96" s="58"/>
      <x:c r="S96" s="58"/>
      <x:c r="T96" s="58"/>
      <x:c r="U96" s="58"/>
      <x:c r="V96" s="58"/>
      <x:c r="W96" s="58"/>
      <x:c r="X96" s="58"/>
      <x:c r="Y96" s="58"/>
      <x:c r="Z96" s="58"/>
    </x:row>
    <x:row r="97">
      <x:c r="A97" s="58"/>
      <x:c r="B97" s="58"/>
      <x:c r="C97" s="58"/>
      <x:c r="D97" s="58"/>
      <x:c r="E97" s="58"/>
      <x:c r="F97" s="58"/>
      <x:c r="G97" s="58"/>
      <x:c r="H97" s="58"/>
      <x:c r="I97" s="58"/>
      <x:c r="J97" s="58"/>
      <x:c r="K97" s="58"/>
      <x:c r="L97" s="58"/>
      <x:c r="M97" s="58"/>
      <x:c r="N97" s="58"/>
      <x:c r="O97" s="58"/>
      <x:c r="P97" s="58"/>
      <x:c r="Q97" s="58"/>
      <x:c r="R97" s="58"/>
      <x:c r="S97" s="58"/>
      <x:c r="T97" s="58"/>
      <x:c r="U97" s="58"/>
      <x:c r="V97" s="58"/>
      <x:c r="W97" s="58"/>
      <x:c r="X97" s="58"/>
      <x:c r="Y97" s="58"/>
      <x:c r="Z97" s="58"/>
    </x:row>
    <x:row r="98">
      <x:c r="A98" s="58"/>
      <x:c r="B98" s="58"/>
      <x:c r="C98" s="58"/>
      <x:c r="D98" s="58"/>
      <x:c r="E98" s="58"/>
      <x:c r="F98" s="58"/>
      <x:c r="G98" s="58"/>
      <x:c r="H98" s="58"/>
      <x:c r="I98" s="58"/>
      <x:c r="J98" s="58"/>
      <x:c r="K98" s="58"/>
      <x:c r="L98" s="58"/>
      <x:c r="M98" s="58"/>
      <x:c r="N98" s="58"/>
      <x:c r="O98" s="58"/>
      <x:c r="P98" s="58"/>
      <x:c r="Q98" s="58"/>
      <x:c r="R98" s="58"/>
      <x:c r="S98" s="58"/>
      <x:c r="T98" s="58"/>
      <x:c r="U98" s="58"/>
      <x:c r="V98" s="58"/>
      <x:c r="W98" s="58"/>
      <x:c r="X98" s="58"/>
      <x:c r="Y98" s="58"/>
      <x:c r="Z98" s="58"/>
    </x:row>
    <x:row r="99">
      <x:c r="A99" s="58"/>
      <x:c r="B99" s="58"/>
      <x:c r="C99" s="58"/>
      <x:c r="D99" s="58"/>
      <x:c r="E99" s="58"/>
      <x:c r="F99" s="58"/>
      <x:c r="G99" s="58"/>
      <x:c r="H99" s="58"/>
      <x:c r="I99" s="58"/>
      <x:c r="J99" s="58"/>
      <x:c r="K99" s="58"/>
      <x:c r="L99" s="58"/>
      <x:c r="M99" s="58"/>
      <x:c r="N99" s="58"/>
      <x:c r="O99" s="58"/>
      <x:c r="P99" s="58"/>
      <x:c r="Q99" s="58"/>
      <x:c r="R99" s="58"/>
      <x:c r="S99" s="58"/>
      <x:c r="T99" s="58"/>
      <x:c r="U99" s="58"/>
      <x:c r="V99" s="58"/>
      <x:c r="W99" s="58"/>
      <x:c r="X99" s="58"/>
      <x:c r="Y99" s="58"/>
      <x:c r="Z99" s="58"/>
    </x:row>
    <x:row r="100">
      <x:c r="A100" s="58"/>
      <x:c r="B100" s="58"/>
      <x:c r="C100" s="58"/>
      <x:c r="D100" s="58"/>
      <x:c r="E100" s="58"/>
      <x:c r="F100" s="58"/>
      <x:c r="G100" s="58"/>
      <x:c r="H100" s="58"/>
      <x:c r="I100" s="58"/>
      <x:c r="J100" s="58"/>
      <x:c r="K100" s="58"/>
      <x:c r="L100" s="58"/>
      <x:c r="M100" s="58"/>
      <x:c r="N100" s="58"/>
      <x:c r="O100" s="58"/>
      <x:c r="P100" s="58"/>
      <x:c r="Q100" s="58"/>
      <x:c r="R100" s="58"/>
      <x:c r="S100" s="58"/>
      <x:c r="T100" s="58"/>
      <x:c r="U100" s="58"/>
      <x:c r="V100" s="58"/>
      <x:c r="W100" s="58"/>
      <x:c r="X100" s="58"/>
      <x:c r="Y100" s="58"/>
      <x:c r="Z100" s="58"/>
    </x:row>
    <x:row r="101">
      <x:c r="A101" s="58"/>
      <x:c r="B101" s="58"/>
      <x:c r="C101" s="58"/>
      <x:c r="D101" s="58"/>
      <x:c r="E101" s="58"/>
      <x:c r="F101" s="58"/>
      <x:c r="G101" s="58"/>
      <x:c r="H101" s="58"/>
      <x:c r="I101" s="58"/>
      <x:c r="J101" s="58"/>
      <x:c r="K101" s="58"/>
      <x:c r="L101" s="58"/>
      <x:c r="M101" s="58"/>
      <x:c r="N101" s="58"/>
      <x:c r="O101" s="58"/>
      <x:c r="P101" s="58"/>
      <x:c r="Q101" s="58"/>
      <x:c r="R101" s="58"/>
      <x:c r="S101" s="58"/>
      <x:c r="T101" s="58"/>
      <x:c r="U101" s="58"/>
      <x:c r="V101" s="58"/>
      <x:c r="W101" s="58"/>
      <x:c r="X101" s="58"/>
      <x:c r="Y101" s="58"/>
      <x:c r="Z101" s="58"/>
    </x:row>
    <x:row r="102">
      <x:c r="A102" s="58"/>
      <x:c r="B102" s="58"/>
      <x:c r="C102" s="58"/>
      <x:c r="D102" s="58"/>
      <x:c r="E102" s="58"/>
      <x:c r="F102" s="58"/>
      <x:c r="G102" s="58"/>
      <x:c r="H102" s="58"/>
      <x:c r="I102" s="58"/>
      <x:c r="J102" s="58"/>
      <x:c r="K102" s="58"/>
      <x:c r="L102" s="58"/>
      <x:c r="M102" s="58"/>
      <x:c r="N102" s="58"/>
      <x:c r="O102" s="58"/>
      <x:c r="P102" s="58"/>
      <x:c r="Q102" s="58"/>
      <x:c r="R102" s="58"/>
      <x:c r="S102" s="58"/>
      <x:c r="T102" s="58"/>
      <x:c r="U102" s="58"/>
      <x:c r="V102" s="58"/>
      <x:c r="W102" s="58"/>
      <x:c r="X102" s="58"/>
      <x:c r="Y102" s="58"/>
      <x:c r="Z102" s="58"/>
    </x:row>
    <x:row r="103">
      <x:c r="A103" s="58"/>
      <x:c r="B103" s="58"/>
      <x:c r="C103" s="58"/>
      <x:c r="D103" s="58"/>
      <x:c r="E103" s="58"/>
      <x:c r="F103" s="58"/>
      <x:c r="G103" s="58"/>
      <x:c r="H103" s="58"/>
      <x:c r="I103" s="58"/>
      <x:c r="J103" s="58"/>
      <x:c r="K103" s="58"/>
      <x:c r="L103" s="58"/>
      <x:c r="M103" s="58"/>
      <x:c r="N103" s="58"/>
      <x:c r="O103" s="58"/>
      <x:c r="P103" s="58"/>
      <x:c r="Q103" s="58"/>
      <x:c r="R103" s="58"/>
      <x:c r="S103" s="58"/>
      <x:c r="T103" s="58"/>
      <x:c r="U103" s="58"/>
      <x:c r="V103" s="58"/>
      <x:c r="W103" s="58"/>
      <x:c r="X103" s="58"/>
      <x:c r="Y103" s="58"/>
      <x:c r="Z103" s="58"/>
    </x:row>
    <x:row r="104">
      <x:c r="A104" s="58"/>
      <x:c r="B104" s="58"/>
      <x:c r="C104" s="58"/>
      <x:c r="D104" s="58"/>
      <x:c r="E104" s="58"/>
      <x:c r="F104" s="58"/>
      <x:c r="G104" s="58"/>
      <x:c r="H104" s="58"/>
      <x:c r="I104" s="58"/>
      <x:c r="J104" s="58"/>
      <x:c r="K104" s="58"/>
      <x:c r="L104" s="58"/>
      <x:c r="M104" s="58"/>
      <x:c r="N104" s="58"/>
      <x:c r="O104" s="58"/>
      <x:c r="P104" s="58"/>
      <x:c r="Q104" s="58"/>
      <x:c r="R104" s="58"/>
      <x:c r="S104" s="58"/>
      <x:c r="T104" s="58"/>
      <x:c r="U104" s="58"/>
      <x:c r="V104" s="58"/>
      <x:c r="W104" s="58"/>
      <x:c r="X104" s="58"/>
      <x:c r="Y104" s="58"/>
      <x:c r="Z104" s="58"/>
    </x:row>
    <x:row r="105">
      <x:c r="A105" s="58"/>
      <x:c r="B105" s="58"/>
      <x:c r="C105" s="58"/>
      <x:c r="D105" s="58"/>
      <x:c r="E105" s="58"/>
      <x:c r="F105" s="58"/>
      <x:c r="G105" s="58"/>
      <x:c r="H105" s="58"/>
      <x:c r="I105" s="58"/>
      <x:c r="J105" s="58"/>
      <x:c r="K105" s="58"/>
      <x:c r="L105" s="58"/>
      <x:c r="M105" s="58"/>
      <x:c r="N105" s="58"/>
      <x:c r="O105" s="58"/>
      <x:c r="P105" s="58"/>
      <x:c r="Q105" s="58"/>
      <x:c r="R105" s="58"/>
      <x:c r="S105" s="58"/>
      <x:c r="T105" s="58"/>
      <x:c r="U105" s="58"/>
      <x:c r="V105" s="58"/>
      <x:c r="W105" s="58"/>
      <x:c r="X105" s="58"/>
      <x:c r="Y105" s="58"/>
      <x:c r="Z105" s="58"/>
    </x:row>
    <x:row r="106">
      <x:c r="A106" s="58"/>
      <x:c r="B106" s="58"/>
      <x:c r="C106" s="58"/>
      <x:c r="D106" s="58"/>
      <x:c r="E106" s="58"/>
      <x:c r="F106" s="58"/>
      <x:c r="G106" s="58"/>
      <x:c r="H106" s="58"/>
      <x:c r="I106" s="58"/>
      <x:c r="J106" s="58"/>
      <x:c r="K106" s="58"/>
      <x:c r="L106" s="58"/>
      <x:c r="M106" s="58"/>
      <x:c r="N106" s="58"/>
      <x:c r="O106" s="58"/>
      <x:c r="P106" s="58"/>
      <x:c r="Q106" s="58"/>
      <x:c r="R106" s="58"/>
      <x:c r="S106" s="58"/>
      <x:c r="T106" s="58"/>
      <x:c r="U106" s="58"/>
      <x:c r="V106" s="58"/>
      <x:c r="W106" s="58"/>
      <x:c r="X106" s="58"/>
      <x:c r="Y106" s="58"/>
      <x:c r="Z106" s="58"/>
    </x:row>
    <x:row r="107">
      <x:c r="A107" s="58"/>
      <x:c r="B107" s="58"/>
      <x:c r="C107" s="58"/>
      <x:c r="D107" s="58"/>
      <x:c r="E107" s="58"/>
      <x:c r="F107" s="58"/>
      <x:c r="G107" s="58"/>
      <x:c r="H107" s="58"/>
      <x:c r="I107" s="58"/>
      <x:c r="J107" s="58"/>
      <x:c r="K107" s="58"/>
      <x:c r="L107" s="58"/>
      <x:c r="M107" s="58"/>
      <x:c r="N107" s="58"/>
      <x:c r="O107" s="58"/>
      <x:c r="P107" s="58"/>
      <x:c r="Q107" s="58"/>
      <x:c r="R107" s="58"/>
      <x:c r="S107" s="58"/>
      <x:c r="T107" s="58"/>
      <x:c r="U107" s="58"/>
      <x:c r="V107" s="58"/>
      <x:c r="W107" s="58"/>
      <x:c r="X107" s="58"/>
      <x:c r="Y107" s="58"/>
      <x:c r="Z107" s="58"/>
    </x:row>
    <x:row r="108">
      <x:c r="A108" s="58"/>
      <x:c r="B108" s="58"/>
      <x:c r="C108" s="58"/>
      <x:c r="D108" s="58"/>
      <x:c r="E108" s="58"/>
      <x:c r="F108" s="58"/>
      <x:c r="G108" s="58"/>
      <x:c r="H108" s="58"/>
      <x:c r="I108" s="58"/>
      <x:c r="J108" s="58"/>
      <x:c r="K108" s="58"/>
      <x:c r="L108" s="58"/>
      <x:c r="M108" s="58"/>
      <x:c r="N108" s="58"/>
      <x:c r="O108" s="58"/>
      <x:c r="P108" s="58"/>
      <x:c r="Q108" s="58"/>
      <x:c r="R108" s="58"/>
      <x:c r="S108" s="58"/>
      <x:c r="T108" s="58"/>
      <x:c r="U108" s="58"/>
      <x:c r="V108" s="58"/>
      <x:c r="W108" s="58"/>
      <x:c r="X108" s="58"/>
      <x:c r="Y108" s="58"/>
      <x:c r="Z108" s="58"/>
    </x:row>
    <x:row r="109">
      <x:c r="A109" s="58"/>
      <x:c r="B109" s="58"/>
      <x:c r="C109" s="58"/>
      <x:c r="D109" s="58"/>
      <x:c r="E109" s="58"/>
      <x:c r="F109" s="58"/>
      <x:c r="G109" s="58"/>
      <x:c r="H109" s="58"/>
      <x:c r="I109" s="58"/>
      <x:c r="J109" s="58"/>
      <x:c r="K109" s="58"/>
      <x:c r="L109" s="58"/>
      <x:c r="M109" s="58"/>
      <x:c r="N109" s="58"/>
      <x:c r="O109" s="58"/>
      <x:c r="P109" s="58"/>
      <x:c r="Q109" s="58"/>
      <x:c r="R109" s="58"/>
      <x:c r="S109" s="58"/>
      <x:c r="T109" s="58"/>
      <x:c r="U109" s="58"/>
      <x:c r="V109" s="58"/>
      <x:c r="W109" s="58"/>
      <x:c r="X109" s="58"/>
      <x:c r="Y109" s="58"/>
      <x:c r="Z109" s="58"/>
    </x:row>
    <x:row r="110">
      <x:c r="A110" s="58"/>
      <x:c r="B110" s="58"/>
      <x:c r="C110" s="58"/>
      <x:c r="D110" s="58"/>
      <x:c r="E110" s="58"/>
      <x:c r="F110" s="58"/>
      <x:c r="G110" s="58"/>
      <x:c r="H110" s="58"/>
      <x:c r="I110" s="58"/>
      <x:c r="J110" s="58"/>
      <x:c r="K110" s="58"/>
      <x:c r="L110" s="58"/>
      <x:c r="M110" s="58"/>
      <x:c r="N110" s="58"/>
      <x:c r="O110" s="58"/>
      <x:c r="P110" s="58"/>
      <x:c r="Q110" s="58"/>
      <x:c r="R110" s="58"/>
      <x:c r="S110" s="58"/>
      <x:c r="T110" s="58"/>
      <x:c r="U110" s="58"/>
      <x:c r="V110" s="58"/>
      <x:c r="W110" s="58"/>
      <x:c r="X110" s="58"/>
      <x:c r="Y110" s="58"/>
      <x:c r="Z110" s="58"/>
    </x:row>
    <x:row r="111">
      <x:c r="A111" s="58"/>
      <x:c r="B111" s="58"/>
      <x:c r="C111" s="58"/>
      <x:c r="D111" s="58"/>
      <x:c r="E111" s="58"/>
      <x:c r="F111" s="58"/>
      <x:c r="G111" s="58"/>
      <x:c r="H111" s="58"/>
      <x:c r="I111" s="58"/>
      <x:c r="J111" s="58"/>
      <x:c r="K111" s="58"/>
      <x:c r="L111" s="58"/>
      <x:c r="M111" s="58"/>
      <x:c r="N111" s="58"/>
      <x:c r="O111" s="58"/>
      <x:c r="P111" s="58"/>
      <x:c r="Q111" s="58"/>
      <x:c r="R111" s="58"/>
      <x:c r="S111" s="58"/>
      <x:c r="T111" s="58"/>
      <x:c r="U111" s="58"/>
      <x:c r="V111" s="58"/>
      <x:c r="W111" s="58"/>
      <x:c r="X111" s="58"/>
      <x:c r="Y111" s="58"/>
      <x:c r="Z111" s="58"/>
    </x:row>
    <x:row r="112">
      <x:c r="A112" s="58"/>
      <x:c r="B112" s="58"/>
      <x:c r="C112" s="58"/>
      <x:c r="D112" s="58"/>
      <x:c r="E112" s="58"/>
      <x:c r="F112" s="58"/>
      <x:c r="G112" s="58"/>
      <x:c r="H112" s="58"/>
      <x:c r="I112" s="58"/>
      <x:c r="J112" s="58"/>
      <x:c r="K112" s="58"/>
      <x:c r="L112" s="58"/>
      <x:c r="M112" s="58"/>
      <x:c r="N112" s="58"/>
      <x:c r="O112" s="58"/>
      <x:c r="P112" s="58"/>
      <x:c r="Q112" s="58"/>
      <x:c r="R112" s="58"/>
      <x:c r="S112" s="58"/>
      <x:c r="T112" s="58"/>
      <x:c r="U112" s="58"/>
      <x:c r="V112" s="58"/>
      <x:c r="W112" s="58"/>
      <x:c r="X112" s="58"/>
      <x:c r="Y112" s="58"/>
      <x:c r="Z112" s="58"/>
    </x:row>
    <x:row r="113">
      <x:c r="A113" s="58"/>
      <x:c r="B113" s="58"/>
      <x:c r="C113" s="58"/>
      <x:c r="D113" s="58"/>
      <x:c r="E113" s="58"/>
      <x:c r="F113" s="58"/>
      <x:c r="G113" s="58"/>
      <x:c r="H113" s="58"/>
      <x:c r="I113" s="58"/>
      <x:c r="J113" s="58"/>
      <x:c r="K113" s="58"/>
      <x:c r="L113" s="58"/>
      <x:c r="M113" s="58"/>
      <x:c r="N113" s="58"/>
      <x:c r="O113" s="58"/>
      <x:c r="P113" s="58"/>
      <x:c r="Q113" s="58"/>
      <x:c r="R113" s="58"/>
      <x:c r="S113" s="58"/>
      <x:c r="T113" s="58"/>
      <x:c r="U113" s="58"/>
      <x:c r="V113" s="58"/>
      <x:c r="W113" s="58"/>
      <x:c r="X113" s="58"/>
      <x:c r="Y113" s="58"/>
      <x:c r="Z113" s="58"/>
    </x:row>
    <x:row r="114">
      <x:c r="A114" s="58"/>
      <x:c r="B114" s="58"/>
      <x:c r="C114" s="58"/>
      <x:c r="D114" s="58"/>
      <x:c r="E114" s="58"/>
      <x:c r="F114" s="58"/>
      <x:c r="G114" s="58"/>
      <x:c r="H114" s="58"/>
      <x:c r="I114" s="58"/>
      <x:c r="J114" s="58"/>
      <x:c r="K114" s="58"/>
      <x:c r="L114" s="58"/>
      <x:c r="M114" s="58"/>
      <x:c r="N114" s="58"/>
      <x:c r="O114" s="58"/>
      <x:c r="P114" s="58"/>
      <x:c r="Q114" s="58"/>
      <x:c r="R114" s="58"/>
      <x:c r="S114" s="58"/>
      <x:c r="T114" s="58"/>
      <x:c r="U114" s="58"/>
      <x:c r="V114" s="58"/>
      <x:c r="W114" s="58"/>
      <x:c r="X114" s="58"/>
      <x:c r="Y114" s="58"/>
      <x:c r="Z114" s="58"/>
    </x:row>
    <x:row r="115">
      <x:c r="A115" s="58"/>
      <x:c r="B115" s="58"/>
      <x:c r="C115" s="58"/>
      <x:c r="D115" s="58"/>
      <x:c r="E115" s="58"/>
      <x:c r="F115" s="58"/>
      <x:c r="G115" s="58"/>
      <x:c r="H115" s="58"/>
      <x:c r="I115" s="58"/>
      <x:c r="J115" s="58"/>
      <x:c r="K115" s="58"/>
      <x:c r="L115" s="58"/>
      <x:c r="M115" s="58"/>
      <x:c r="N115" s="58"/>
      <x:c r="O115" s="58"/>
      <x:c r="P115" s="58"/>
      <x:c r="Q115" s="58"/>
      <x:c r="R115" s="58"/>
      <x:c r="S115" s="58"/>
      <x:c r="T115" s="58"/>
      <x:c r="U115" s="58"/>
      <x:c r="V115" s="58"/>
      <x:c r="W115" s="58"/>
      <x:c r="X115" s="58"/>
      <x:c r="Y115" s="58"/>
      <x:c r="Z115" s="58"/>
    </x:row>
    <x:row r="116">
      <x:c r="A116" s="58"/>
      <x:c r="B116" s="58"/>
      <x:c r="C116" s="58"/>
      <x:c r="D116" s="58"/>
      <x:c r="E116" s="58"/>
      <x:c r="F116" s="58"/>
      <x:c r="G116" s="58"/>
      <x:c r="H116" s="58"/>
      <x:c r="I116" s="58"/>
      <x:c r="J116" s="58"/>
      <x:c r="K116" s="58"/>
      <x:c r="L116" s="58"/>
      <x:c r="M116" s="58"/>
      <x:c r="N116" s="58"/>
      <x:c r="O116" s="58"/>
      <x:c r="P116" s="58"/>
      <x:c r="Q116" s="58"/>
      <x:c r="R116" s="58"/>
      <x:c r="S116" s="58"/>
      <x:c r="T116" s="58"/>
      <x:c r="U116" s="58"/>
      <x:c r="V116" s="58"/>
      <x:c r="W116" s="58"/>
      <x:c r="X116" s="58"/>
      <x:c r="Y116" s="58"/>
      <x:c r="Z116" s="58"/>
    </x:row>
    <x:row r="117">
      <x:c r="A117" s="58"/>
      <x:c r="B117" s="58"/>
      <x:c r="C117" s="58"/>
      <x:c r="D117" s="58"/>
      <x:c r="E117" s="58"/>
      <x:c r="F117" s="58"/>
      <x:c r="G117" s="58"/>
      <x:c r="H117" s="58"/>
      <x:c r="I117" s="58"/>
      <x:c r="J117" s="58"/>
      <x:c r="K117" s="58"/>
      <x:c r="L117" s="58"/>
      <x:c r="M117" s="58"/>
      <x:c r="N117" s="58"/>
      <x:c r="O117" s="58"/>
      <x:c r="P117" s="58"/>
      <x:c r="Q117" s="58"/>
      <x:c r="R117" s="58"/>
      <x:c r="S117" s="58"/>
      <x:c r="T117" s="58"/>
      <x:c r="U117" s="58"/>
      <x:c r="V117" s="58"/>
      <x:c r="W117" s="58"/>
      <x:c r="X117" s="58"/>
      <x:c r="Y117" s="58"/>
      <x:c r="Z117" s="58"/>
    </x:row>
    <x:row r="118">
      <x:c r="A118" s="58"/>
      <x:c r="B118" s="58"/>
      <x:c r="C118" s="58"/>
      <x:c r="D118" s="58"/>
      <x:c r="E118" s="58"/>
      <x:c r="F118" s="58"/>
      <x:c r="G118" s="58"/>
      <x:c r="H118" s="58"/>
      <x:c r="I118" s="58"/>
      <x:c r="J118" s="58"/>
      <x:c r="K118" s="58"/>
      <x:c r="L118" s="58"/>
      <x:c r="M118" s="58"/>
      <x:c r="N118" s="58"/>
      <x:c r="O118" s="58"/>
      <x:c r="P118" s="58"/>
      <x:c r="Q118" s="58"/>
      <x:c r="R118" s="58"/>
      <x:c r="S118" s="58"/>
      <x:c r="T118" s="58"/>
      <x:c r="U118" s="58"/>
      <x:c r="V118" s="58"/>
      <x:c r="W118" s="58"/>
      <x:c r="X118" s="58"/>
      <x:c r="Y118" s="58"/>
      <x:c r="Z118" s="58"/>
    </x:row>
    <x:row r="119">
      <x:c r="A119" s="58"/>
      <x:c r="B119" s="58"/>
      <x:c r="C119" s="58"/>
      <x:c r="D119" s="58"/>
      <x:c r="E119" s="58"/>
      <x:c r="F119" s="58"/>
      <x:c r="G119" s="58"/>
      <x:c r="H119" s="58"/>
      <x:c r="I119" s="58"/>
      <x:c r="J119" s="58"/>
      <x:c r="K119" s="58"/>
      <x:c r="L119" s="58"/>
      <x:c r="M119" s="58"/>
      <x:c r="N119" s="58"/>
      <x:c r="O119" s="58"/>
      <x:c r="P119" s="58"/>
      <x:c r="Q119" s="58"/>
      <x:c r="R119" s="58"/>
      <x:c r="S119" s="58"/>
      <x:c r="T119" s="58"/>
      <x:c r="U119" s="58"/>
      <x:c r="V119" s="58"/>
      <x:c r="W119" s="58"/>
      <x:c r="X119" s="58"/>
      <x:c r="Y119" s="58"/>
      <x:c r="Z119" s="58"/>
    </x:row>
    <x:row r="120">
      <x:c r="A120" s="58"/>
      <x:c r="B120" s="58"/>
      <x:c r="C120" s="58"/>
      <x:c r="D120" s="58"/>
      <x:c r="E120" s="58"/>
      <x:c r="F120" s="58"/>
      <x:c r="G120" s="58"/>
      <x:c r="H120" s="58"/>
      <x:c r="I120" s="58"/>
      <x:c r="J120" s="58"/>
      <x:c r="K120" s="58"/>
      <x:c r="L120" s="58"/>
      <x:c r="M120" s="58"/>
      <x:c r="N120" s="58"/>
      <x:c r="O120" s="58"/>
      <x:c r="P120" s="58"/>
      <x:c r="Q120" s="58"/>
      <x:c r="R120" s="58"/>
      <x:c r="S120" s="58"/>
      <x:c r="T120" s="58"/>
      <x:c r="U120" s="58"/>
      <x:c r="V120" s="58"/>
      <x:c r="W120" s="58"/>
      <x:c r="X120" s="58"/>
      <x:c r="Y120" s="58"/>
      <x:c r="Z120" s="58"/>
    </x:row>
    <x:row r="121">
      <x:c r="A121" s="58"/>
      <x:c r="B121" s="58"/>
      <x:c r="C121" s="58"/>
      <x:c r="D121" s="58"/>
      <x:c r="E121" s="58"/>
      <x:c r="F121" s="58"/>
      <x:c r="G121" s="58"/>
      <x:c r="H121" s="58"/>
      <x:c r="I121" s="58"/>
      <x:c r="J121" s="58"/>
      <x:c r="K121" s="58"/>
      <x:c r="L121" s="58"/>
      <x:c r="M121" s="58"/>
      <x:c r="N121" s="58"/>
      <x:c r="O121" s="58"/>
      <x:c r="P121" s="58"/>
      <x:c r="Q121" s="58"/>
      <x:c r="R121" s="58"/>
      <x:c r="S121" s="58"/>
      <x:c r="T121" s="58"/>
      <x:c r="U121" s="58"/>
      <x:c r="V121" s="58"/>
      <x:c r="W121" s="58"/>
      <x:c r="X121" s="58"/>
      <x:c r="Y121" s="58"/>
      <x:c r="Z121" s="58"/>
    </x:row>
    <x:row r="122">
      <x:c r="A122" s="58"/>
      <x:c r="B122" s="58"/>
      <x:c r="C122" s="58"/>
      <x:c r="D122" s="58"/>
      <x:c r="E122" s="58"/>
      <x:c r="F122" s="58"/>
      <x:c r="G122" s="58"/>
      <x:c r="H122" s="58"/>
      <x:c r="I122" s="58"/>
      <x:c r="J122" s="58"/>
      <x:c r="K122" s="58"/>
      <x:c r="L122" s="58"/>
      <x:c r="M122" s="58"/>
      <x:c r="N122" s="58"/>
      <x:c r="O122" s="58"/>
      <x:c r="P122" s="58"/>
      <x:c r="Q122" s="58"/>
      <x:c r="R122" s="58"/>
      <x:c r="S122" s="58"/>
      <x:c r="T122" s="58"/>
      <x:c r="U122" s="58"/>
      <x:c r="V122" s="58"/>
      <x:c r="W122" s="58"/>
      <x:c r="X122" s="58"/>
      <x:c r="Y122" s="58"/>
      <x:c r="Z122" s="58"/>
    </x:row>
    <x:row r="123">
      <x:c r="A123" s="58"/>
      <x:c r="B123" s="58"/>
      <x:c r="C123" s="58"/>
      <x:c r="D123" s="58"/>
      <x:c r="E123" s="58"/>
      <x:c r="F123" s="58"/>
      <x:c r="G123" s="58"/>
      <x:c r="H123" s="58"/>
      <x:c r="I123" s="58"/>
      <x:c r="J123" s="58"/>
      <x:c r="K123" s="58"/>
      <x:c r="L123" s="58"/>
      <x:c r="M123" s="58"/>
      <x:c r="N123" s="58"/>
      <x:c r="O123" s="58"/>
      <x:c r="P123" s="58"/>
      <x:c r="Q123" s="58"/>
      <x:c r="R123" s="58"/>
      <x:c r="S123" s="58"/>
      <x:c r="T123" s="58"/>
      <x:c r="U123" s="58"/>
      <x:c r="V123" s="58"/>
      <x:c r="W123" s="58"/>
      <x:c r="X123" s="58"/>
      <x:c r="Y123" s="58"/>
      <x:c r="Z123" s="58"/>
    </x:row>
    <x:row r="124">
      <x:c r="A124" s="58"/>
      <x:c r="B124" s="58"/>
      <x:c r="C124" s="58"/>
      <x:c r="D124" s="58"/>
      <x:c r="E124" s="58"/>
      <x:c r="F124" s="58"/>
      <x:c r="G124" s="58"/>
      <x:c r="H124" s="58"/>
      <x:c r="I124" s="58"/>
      <x:c r="J124" s="58"/>
      <x:c r="K124" s="58"/>
      <x:c r="L124" s="58"/>
      <x:c r="M124" s="58"/>
      <x:c r="N124" s="58"/>
      <x:c r="O124" s="58"/>
      <x:c r="P124" s="58"/>
      <x:c r="Q124" s="58"/>
      <x:c r="R124" s="58"/>
      <x:c r="S124" s="58"/>
      <x:c r="T124" s="58"/>
      <x:c r="U124" s="58"/>
      <x:c r="V124" s="58"/>
      <x:c r="W124" s="58"/>
      <x:c r="X124" s="58"/>
      <x:c r="Y124" s="58"/>
      <x:c r="Z124" s="58"/>
    </x:row>
    <x:row r="125">
      <x:c r="A125" s="58"/>
      <x:c r="B125" s="58"/>
      <x:c r="C125" s="58"/>
      <x:c r="D125" s="58"/>
      <x:c r="E125" s="58"/>
      <x:c r="F125" s="58"/>
      <x:c r="G125" s="58"/>
      <x:c r="H125" s="58"/>
      <x:c r="I125" s="58"/>
      <x:c r="J125" s="58"/>
      <x:c r="K125" s="58"/>
      <x:c r="L125" s="58"/>
      <x:c r="M125" s="58"/>
      <x:c r="N125" s="58"/>
      <x:c r="O125" s="58"/>
      <x:c r="P125" s="58"/>
      <x:c r="Q125" s="58"/>
      <x:c r="R125" s="58"/>
      <x:c r="S125" s="58"/>
      <x:c r="T125" s="58"/>
      <x:c r="U125" s="58"/>
      <x:c r="V125" s="58"/>
      <x:c r="W125" s="58"/>
      <x:c r="X125" s="58"/>
      <x:c r="Y125" s="58"/>
      <x:c r="Z125" s="58"/>
    </x:row>
    <x:row r="126">
      <x:c r="A126" s="58"/>
      <x:c r="B126" s="58"/>
      <x:c r="C126" s="58"/>
      <x:c r="D126" s="58"/>
      <x:c r="E126" s="58"/>
      <x:c r="F126" s="58"/>
      <x:c r="G126" s="58"/>
      <x:c r="H126" s="58"/>
      <x:c r="I126" s="58"/>
      <x:c r="J126" s="58"/>
      <x:c r="K126" s="58"/>
      <x:c r="L126" s="58"/>
      <x:c r="M126" s="58"/>
      <x:c r="N126" s="58"/>
      <x:c r="O126" s="58"/>
      <x:c r="P126" s="58"/>
      <x:c r="Q126" s="58"/>
      <x:c r="R126" s="58"/>
      <x:c r="S126" s="58"/>
      <x:c r="T126" s="58"/>
      <x:c r="U126" s="58"/>
      <x:c r="V126" s="58"/>
      <x:c r="W126" s="58"/>
      <x:c r="X126" s="58"/>
      <x:c r="Y126" s="58"/>
      <x:c r="Z126" s="58"/>
    </x:row>
    <x:row r="127">
      <x:c r="A127" s="58"/>
      <x:c r="B127" s="58"/>
      <x:c r="C127" s="58"/>
      <x:c r="D127" s="58"/>
      <x:c r="E127" s="58"/>
      <x:c r="F127" s="58"/>
      <x:c r="G127" s="58"/>
      <x:c r="H127" s="58"/>
      <x:c r="I127" s="58"/>
      <x:c r="J127" s="58"/>
      <x:c r="K127" s="58"/>
      <x:c r="L127" s="58"/>
      <x:c r="M127" s="58"/>
      <x:c r="N127" s="58"/>
      <x:c r="O127" s="58"/>
      <x:c r="P127" s="58"/>
      <x:c r="Q127" s="58"/>
      <x:c r="R127" s="58"/>
      <x:c r="S127" s="58"/>
      <x:c r="T127" s="58"/>
      <x:c r="U127" s="58"/>
      <x:c r="V127" s="58"/>
      <x:c r="W127" s="58"/>
      <x:c r="X127" s="58"/>
      <x:c r="Y127" s="58"/>
      <x:c r="Z127" s="58"/>
    </x:row>
    <x:row r="128">
      <x:c r="A128" s="58"/>
      <x:c r="B128" s="58"/>
      <x:c r="C128" s="58"/>
      <x:c r="D128" s="58"/>
      <x:c r="E128" s="58"/>
      <x:c r="F128" s="58"/>
      <x:c r="G128" s="58"/>
      <x:c r="H128" s="58"/>
      <x:c r="I128" s="58"/>
      <x:c r="J128" s="58"/>
      <x:c r="K128" s="58"/>
      <x:c r="L128" s="58"/>
      <x:c r="M128" s="58"/>
      <x:c r="N128" s="58"/>
      <x:c r="O128" s="58"/>
      <x:c r="P128" s="58"/>
      <x:c r="Q128" s="58"/>
      <x:c r="R128" s="58"/>
      <x:c r="S128" s="58"/>
      <x:c r="T128" s="58"/>
      <x:c r="U128" s="58"/>
      <x:c r="V128" s="58"/>
      <x:c r="W128" s="58"/>
      <x:c r="X128" s="58"/>
      <x:c r="Y128" s="58"/>
      <x:c r="Z128" s="58"/>
    </x:row>
    <x:row r="129">
      <x:c r="A129" s="58"/>
      <x:c r="B129" s="58"/>
      <x:c r="C129" s="58"/>
      <x:c r="D129" s="58"/>
      <x:c r="E129" s="58"/>
      <x:c r="F129" s="58"/>
      <x:c r="G129" s="58"/>
      <x:c r="H129" s="58"/>
      <x:c r="I129" s="58"/>
      <x:c r="J129" s="58"/>
      <x:c r="K129" s="58"/>
      <x:c r="L129" s="58"/>
      <x:c r="M129" s="58"/>
      <x:c r="N129" s="58"/>
      <x:c r="O129" s="58"/>
      <x:c r="P129" s="58"/>
      <x:c r="Q129" s="58"/>
      <x:c r="R129" s="58"/>
      <x:c r="S129" s="58"/>
      <x:c r="T129" s="58"/>
      <x:c r="U129" s="58"/>
      <x:c r="V129" s="58"/>
      <x:c r="W129" s="58"/>
      <x:c r="X129" s="58"/>
      <x:c r="Y129" s="58"/>
      <x:c r="Z129" s="58"/>
    </x:row>
    <x:row r="130">
      <x:c r="A130" s="58"/>
      <x:c r="B130" s="58"/>
      <x:c r="C130" s="58"/>
      <x:c r="D130" s="58"/>
      <x:c r="E130" s="58"/>
      <x:c r="F130" s="58"/>
      <x:c r="G130" s="58"/>
      <x:c r="H130" s="58"/>
      <x:c r="I130" s="58"/>
      <x:c r="J130" s="58"/>
      <x:c r="K130" s="58"/>
      <x:c r="L130" s="58"/>
      <x:c r="M130" s="58"/>
      <x:c r="N130" s="58"/>
      <x:c r="O130" s="58"/>
      <x:c r="P130" s="58"/>
      <x:c r="Q130" s="58"/>
      <x:c r="R130" s="58"/>
      <x:c r="S130" s="58"/>
      <x:c r="T130" s="58"/>
      <x:c r="U130" s="58"/>
      <x:c r="V130" s="58"/>
      <x:c r="W130" s="58"/>
      <x:c r="X130" s="58"/>
      <x:c r="Y130" s="58"/>
      <x:c r="Z130" s="58"/>
    </x:row>
    <x:row r="131">
      <x:c r="A131" s="58"/>
      <x:c r="B131" s="58"/>
      <x:c r="C131" s="58"/>
      <x:c r="D131" s="58"/>
      <x:c r="E131" s="58"/>
      <x:c r="F131" s="58"/>
      <x:c r="G131" s="58"/>
      <x:c r="H131" s="58"/>
      <x:c r="I131" s="58"/>
      <x:c r="J131" s="58"/>
      <x:c r="K131" s="58"/>
      <x:c r="L131" s="58"/>
      <x:c r="M131" s="58"/>
      <x:c r="N131" s="58"/>
      <x:c r="O131" s="58"/>
      <x:c r="P131" s="58"/>
      <x:c r="Q131" s="58"/>
      <x:c r="R131" s="58"/>
      <x:c r="S131" s="58"/>
      <x:c r="T131" s="58"/>
      <x:c r="U131" s="58"/>
      <x:c r="V131" s="58"/>
      <x:c r="W131" s="58"/>
      <x:c r="X131" s="58"/>
      <x:c r="Y131" s="58"/>
      <x:c r="Z131" s="58"/>
    </x:row>
    <x:row r="132">
      <x:c r="A132" s="58"/>
      <x:c r="B132" s="58"/>
      <x:c r="C132" s="58"/>
      <x:c r="D132" s="58"/>
      <x:c r="E132" s="58"/>
      <x:c r="F132" s="58"/>
      <x:c r="G132" s="58"/>
      <x:c r="H132" s="58"/>
      <x:c r="I132" s="58"/>
      <x:c r="J132" s="58"/>
      <x:c r="K132" s="58"/>
      <x:c r="L132" s="58"/>
      <x:c r="M132" s="58"/>
      <x:c r="N132" s="58"/>
      <x:c r="O132" s="58"/>
      <x:c r="P132" s="58"/>
      <x:c r="Q132" s="58"/>
      <x:c r="R132" s="58"/>
      <x:c r="S132" s="58"/>
      <x:c r="T132" s="58"/>
      <x:c r="U132" s="58"/>
      <x:c r="V132" s="58"/>
      <x:c r="W132" s="58"/>
      <x:c r="X132" s="58"/>
      <x:c r="Y132" s="58"/>
      <x:c r="Z132" s="58"/>
    </x:row>
    <x:row r="133">
      <x:c r="A133" s="58"/>
      <x:c r="B133" s="58"/>
      <x:c r="C133" s="58"/>
      <x:c r="D133" s="58"/>
      <x:c r="E133" s="58"/>
      <x:c r="F133" s="58"/>
      <x:c r="G133" s="58"/>
      <x:c r="H133" s="58"/>
      <x:c r="I133" s="58"/>
      <x:c r="J133" s="58"/>
      <x:c r="K133" s="58"/>
      <x:c r="L133" s="58"/>
      <x:c r="M133" s="58"/>
      <x:c r="N133" s="58"/>
      <x:c r="O133" s="58"/>
      <x:c r="P133" s="58"/>
      <x:c r="Q133" s="58"/>
      <x:c r="R133" s="58"/>
      <x:c r="S133" s="58"/>
      <x:c r="T133" s="58"/>
      <x:c r="U133" s="58"/>
      <x:c r="V133" s="58"/>
      <x:c r="W133" s="58"/>
      <x:c r="X133" s="58"/>
      <x:c r="Y133" s="58"/>
      <x:c r="Z133" s="58"/>
    </x:row>
    <x:row r="134">
      <x:c r="A134" s="58"/>
      <x:c r="B134" s="58"/>
      <x:c r="C134" s="58"/>
      <x:c r="D134" s="58"/>
      <x:c r="E134" s="58"/>
      <x:c r="F134" s="58"/>
      <x:c r="G134" s="58"/>
      <x:c r="H134" s="58"/>
      <x:c r="I134" s="58"/>
      <x:c r="J134" s="58"/>
      <x:c r="K134" s="58"/>
      <x:c r="L134" s="58"/>
      <x:c r="M134" s="58"/>
      <x:c r="N134" s="58"/>
      <x:c r="O134" s="58"/>
      <x:c r="P134" s="58"/>
      <x:c r="Q134" s="58"/>
      <x:c r="R134" s="58"/>
      <x:c r="S134" s="58"/>
      <x:c r="T134" s="58"/>
      <x:c r="U134" s="58"/>
      <x:c r="V134" s="58"/>
      <x:c r="W134" s="58"/>
      <x:c r="X134" s="58"/>
      <x:c r="Y134" s="58"/>
      <x:c r="Z134" s="58"/>
    </x:row>
    <x:row r="135">
      <x:c r="A135" s="58"/>
      <x:c r="B135" s="58"/>
      <x:c r="C135" s="58"/>
      <x:c r="D135" s="58"/>
      <x:c r="E135" s="58"/>
      <x:c r="F135" s="58"/>
      <x:c r="G135" s="58"/>
      <x:c r="H135" s="58"/>
      <x:c r="I135" s="58"/>
      <x:c r="J135" s="58"/>
      <x:c r="K135" s="58"/>
      <x:c r="L135" s="58"/>
      <x:c r="M135" s="58"/>
      <x:c r="N135" s="58"/>
      <x:c r="O135" s="58"/>
      <x:c r="P135" s="58"/>
      <x:c r="Q135" s="58"/>
      <x:c r="R135" s="58"/>
      <x:c r="S135" s="58"/>
      <x:c r="T135" s="58"/>
      <x:c r="U135" s="58"/>
      <x:c r="V135" s="58"/>
      <x:c r="W135" s="58"/>
      <x:c r="X135" s="58"/>
      <x:c r="Y135" s="58"/>
      <x:c r="Z135" s="58"/>
    </x:row>
    <x:row r="136">
      <x:c r="A136" s="58"/>
      <x:c r="B136" s="58"/>
      <x:c r="C136" s="58"/>
      <x:c r="D136" s="58"/>
      <x:c r="E136" s="58"/>
      <x:c r="F136" s="58"/>
      <x:c r="G136" s="58"/>
      <x:c r="H136" s="58"/>
      <x:c r="I136" s="58"/>
      <x:c r="J136" s="58"/>
      <x:c r="K136" s="58"/>
      <x:c r="L136" s="58"/>
      <x:c r="M136" s="58"/>
      <x:c r="N136" s="58"/>
      <x:c r="O136" s="58"/>
      <x:c r="P136" s="58"/>
      <x:c r="Q136" s="58"/>
      <x:c r="R136" s="58"/>
      <x:c r="S136" s="58"/>
      <x:c r="T136" s="58"/>
      <x:c r="U136" s="58"/>
      <x:c r="V136" s="58"/>
      <x:c r="W136" s="58"/>
      <x:c r="X136" s="58"/>
      <x:c r="Y136" s="58"/>
      <x:c r="Z136" s="58"/>
    </x:row>
    <x:row r="137">
      <x:c r="A137" s="58"/>
      <x:c r="B137" s="58"/>
      <x:c r="C137" s="58"/>
      <x:c r="D137" s="58"/>
      <x:c r="E137" s="58"/>
      <x:c r="F137" s="58"/>
      <x:c r="G137" s="58"/>
      <x:c r="H137" s="58"/>
      <x:c r="I137" s="58"/>
      <x:c r="J137" s="58"/>
      <x:c r="K137" s="58"/>
      <x:c r="L137" s="58"/>
      <x:c r="M137" s="58"/>
      <x:c r="N137" s="58"/>
      <x:c r="O137" s="58"/>
      <x:c r="P137" s="58"/>
      <x:c r="Q137" s="58"/>
      <x:c r="R137" s="58"/>
      <x:c r="S137" s="58"/>
      <x:c r="T137" s="58"/>
      <x:c r="U137" s="58"/>
      <x:c r="V137" s="58"/>
      <x:c r="W137" s="58"/>
      <x:c r="X137" s="58"/>
      <x:c r="Y137" s="58"/>
      <x:c r="Z137" s="58"/>
    </x:row>
    <x:row r="138">
      <x:c r="A138" s="58"/>
      <x:c r="B138" s="58"/>
      <x:c r="C138" s="58"/>
      <x:c r="D138" s="58"/>
      <x:c r="E138" s="58"/>
      <x:c r="F138" s="58"/>
      <x:c r="G138" s="58"/>
      <x:c r="H138" s="58"/>
      <x:c r="I138" s="58"/>
      <x:c r="J138" s="58"/>
      <x:c r="K138" s="58"/>
      <x:c r="L138" s="58"/>
      <x:c r="M138" s="58"/>
      <x:c r="N138" s="58"/>
      <x:c r="O138" s="58"/>
      <x:c r="P138" s="58"/>
      <x:c r="Q138" s="58"/>
      <x:c r="R138" s="58"/>
      <x:c r="S138" s="58"/>
      <x:c r="T138" s="58"/>
      <x:c r="U138" s="58"/>
      <x:c r="V138" s="58"/>
      <x:c r="W138" s="58"/>
      <x:c r="X138" s="58"/>
      <x:c r="Y138" s="58"/>
      <x:c r="Z138" s="58"/>
    </x:row>
    <x:row r="139">
      <x:c r="A139" s="58"/>
      <x:c r="B139" s="58"/>
      <x:c r="C139" s="58"/>
      <x:c r="D139" s="58"/>
      <x:c r="E139" s="58"/>
      <x:c r="F139" s="58"/>
      <x:c r="G139" s="58"/>
      <x:c r="H139" s="58"/>
      <x:c r="I139" s="58"/>
      <x:c r="J139" s="58"/>
      <x:c r="K139" s="58"/>
      <x:c r="L139" s="58"/>
      <x:c r="M139" s="58"/>
      <x:c r="N139" s="58"/>
      <x:c r="O139" s="58"/>
      <x:c r="P139" s="58"/>
      <x:c r="Q139" s="58"/>
      <x:c r="R139" s="58"/>
      <x:c r="S139" s="58"/>
      <x:c r="T139" s="58"/>
      <x:c r="U139" s="58"/>
      <x:c r="V139" s="58"/>
      <x:c r="W139" s="58"/>
      <x:c r="X139" s="58"/>
      <x:c r="Y139" s="58"/>
      <x:c r="Z139" s="58"/>
    </x:row>
    <x:row r="140">
      <x:c r="A140" s="58"/>
      <x:c r="B140" s="58"/>
      <x:c r="C140" s="58"/>
      <x:c r="D140" s="58"/>
      <x:c r="E140" s="58"/>
      <x:c r="F140" s="58"/>
      <x:c r="G140" s="58"/>
      <x:c r="H140" s="58"/>
      <x:c r="I140" s="58"/>
      <x:c r="J140" s="58"/>
      <x:c r="K140" s="58"/>
      <x:c r="L140" s="58"/>
      <x:c r="M140" s="58"/>
      <x:c r="N140" s="58"/>
      <x:c r="O140" s="58"/>
      <x:c r="P140" s="58"/>
      <x:c r="Q140" s="58"/>
      <x:c r="R140" s="58"/>
      <x:c r="S140" s="58"/>
      <x:c r="T140" s="58"/>
      <x:c r="U140" s="58"/>
      <x:c r="V140" s="58"/>
      <x:c r="W140" s="58"/>
      <x:c r="X140" s="58"/>
      <x:c r="Y140" s="58"/>
      <x:c r="Z140" s="58"/>
    </x:row>
    <x:row r="141">
      <x:c r="A141" s="58"/>
      <x:c r="B141" s="58"/>
      <x:c r="C141" s="58"/>
      <x:c r="D141" s="58"/>
      <x:c r="E141" s="58"/>
      <x:c r="F141" s="58"/>
      <x:c r="G141" s="58"/>
      <x:c r="H141" s="58"/>
      <x:c r="I141" s="58"/>
      <x:c r="J141" s="58"/>
      <x:c r="K141" s="58"/>
      <x:c r="L141" s="58"/>
      <x:c r="M141" s="58"/>
      <x:c r="N141" s="58"/>
      <x:c r="O141" s="58"/>
      <x:c r="P141" s="58"/>
      <x:c r="Q141" s="58"/>
      <x:c r="R141" s="58"/>
      <x:c r="S141" s="58"/>
      <x:c r="T141" s="58"/>
      <x:c r="U141" s="58"/>
      <x:c r="V141" s="58"/>
      <x:c r="W141" s="58"/>
      <x:c r="X141" s="58"/>
      <x:c r="Y141" s="58"/>
      <x:c r="Z141" s="58"/>
    </x:row>
    <x:row r="142">
      <x:c r="A142" s="58"/>
      <x:c r="B142" s="58"/>
      <x:c r="C142" s="58"/>
      <x:c r="D142" s="58"/>
      <x:c r="E142" s="58"/>
      <x:c r="F142" s="58"/>
      <x:c r="G142" s="58"/>
      <x:c r="H142" s="58"/>
      <x:c r="I142" s="58"/>
      <x:c r="J142" s="58"/>
      <x:c r="K142" s="58"/>
      <x:c r="L142" s="58"/>
      <x:c r="M142" s="58"/>
      <x:c r="N142" s="58"/>
      <x:c r="O142" s="58"/>
      <x:c r="P142" s="58"/>
      <x:c r="Q142" s="58"/>
      <x:c r="R142" s="58"/>
      <x:c r="S142" s="58"/>
      <x:c r="T142" s="58"/>
      <x:c r="U142" s="58"/>
      <x:c r="V142" s="58"/>
      <x:c r="W142" s="58"/>
      <x:c r="X142" s="58"/>
      <x:c r="Y142" s="58"/>
      <x:c r="Z142" s="58"/>
    </x:row>
    <x:row r="143">
      <x:c r="A143" s="58"/>
      <x:c r="B143" s="58"/>
      <x:c r="C143" s="58"/>
      <x:c r="D143" s="58"/>
      <x:c r="E143" s="58"/>
      <x:c r="F143" s="58"/>
      <x:c r="G143" s="58"/>
      <x:c r="H143" s="58"/>
      <x:c r="I143" s="58"/>
      <x:c r="J143" s="58"/>
      <x:c r="K143" s="58"/>
      <x:c r="L143" s="58"/>
      <x:c r="M143" s="58"/>
      <x:c r="N143" s="58"/>
      <x:c r="O143" s="58"/>
      <x:c r="P143" s="58"/>
      <x:c r="Q143" s="58"/>
      <x:c r="R143" s="58"/>
      <x:c r="S143" s="58"/>
      <x:c r="T143" s="58"/>
      <x:c r="U143" s="58"/>
      <x:c r="V143" s="58"/>
      <x:c r="W143" s="58"/>
      <x:c r="X143" s="58"/>
      <x:c r="Y143" s="58"/>
      <x:c r="Z143" s="58"/>
    </x:row>
    <x:row r="144">
      <x:c r="A144" s="58"/>
      <x:c r="B144" s="58"/>
      <x:c r="C144" s="58"/>
      <x:c r="D144" s="58"/>
      <x:c r="E144" s="58"/>
      <x:c r="F144" s="58"/>
      <x:c r="G144" s="58"/>
      <x:c r="H144" s="58"/>
      <x:c r="I144" s="58"/>
      <x:c r="J144" s="58"/>
      <x:c r="K144" s="58"/>
      <x:c r="L144" s="58"/>
      <x:c r="M144" s="58"/>
      <x:c r="N144" s="58"/>
      <x:c r="O144" s="58"/>
      <x:c r="P144" s="58"/>
      <x:c r="Q144" s="58"/>
      <x:c r="R144" s="58"/>
      <x:c r="S144" s="58"/>
      <x:c r="T144" s="58"/>
      <x:c r="U144" s="58"/>
      <x:c r="V144" s="58"/>
      <x:c r="W144" s="58"/>
      <x:c r="X144" s="58"/>
      <x:c r="Y144" s="58"/>
      <x:c r="Z144" s="58"/>
    </x:row>
    <x:row r="145">
      <x:c r="A145" s="58"/>
      <x:c r="B145" s="58"/>
      <x:c r="C145" s="58"/>
      <x:c r="D145" s="58"/>
      <x:c r="E145" s="58"/>
      <x:c r="F145" s="58"/>
      <x:c r="G145" s="58"/>
      <x:c r="H145" s="58"/>
      <x:c r="I145" s="58"/>
      <x:c r="J145" s="58"/>
      <x:c r="K145" s="58"/>
      <x:c r="L145" s="58"/>
      <x:c r="M145" s="58"/>
      <x:c r="N145" s="58"/>
      <x:c r="O145" s="58"/>
      <x:c r="P145" s="58"/>
      <x:c r="Q145" s="58"/>
      <x:c r="R145" s="58"/>
      <x:c r="S145" s="58"/>
      <x:c r="T145" s="58"/>
      <x:c r="U145" s="58"/>
      <x:c r="V145" s="58"/>
      <x:c r="W145" s="58"/>
      <x:c r="X145" s="58"/>
      <x:c r="Y145" s="58"/>
      <x:c r="Z145" s="58"/>
    </x:row>
    <x:row r="146">
      <x:c r="A146" s="58"/>
      <x:c r="B146" s="58"/>
      <x:c r="C146" s="58"/>
      <x:c r="D146" s="58"/>
      <x:c r="E146" s="58"/>
      <x:c r="F146" s="58"/>
      <x:c r="G146" s="58"/>
      <x:c r="H146" s="58"/>
      <x:c r="I146" s="58"/>
      <x:c r="J146" s="58"/>
      <x:c r="K146" s="58"/>
      <x:c r="L146" s="58"/>
      <x:c r="M146" s="58"/>
      <x:c r="N146" s="58"/>
      <x:c r="O146" s="58"/>
      <x:c r="P146" s="58"/>
      <x:c r="Q146" s="58"/>
      <x:c r="R146" s="58"/>
      <x:c r="S146" s="58"/>
      <x:c r="T146" s="58"/>
      <x:c r="U146" s="58"/>
      <x:c r="V146" s="58"/>
      <x:c r="W146" s="58"/>
      <x:c r="X146" s="58"/>
      <x:c r="Y146" s="58"/>
      <x:c r="Z146" s="58"/>
    </x:row>
    <x:row r="147">
      <x:c r="A147" s="58"/>
      <x:c r="B147" s="58"/>
      <x:c r="C147" s="58"/>
      <x:c r="D147" s="58"/>
      <x:c r="E147" s="58"/>
      <x:c r="F147" s="58"/>
      <x:c r="G147" s="58"/>
      <x:c r="H147" s="58"/>
      <x:c r="I147" s="58"/>
      <x:c r="J147" s="58"/>
      <x:c r="K147" s="58"/>
      <x:c r="L147" s="58"/>
      <x:c r="M147" s="58"/>
      <x:c r="N147" s="58"/>
      <x:c r="O147" s="58"/>
      <x:c r="P147" s="58"/>
      <x:c r="Q147" s="58"/>
      <x:c r="R147" s="58"/>
      <x:c r="S147" s="58"/>
      <x:c r="T147" s="58"/>
      <x:c r="U147" s="58"/>
      <x:c r="V147" s="58"/>
      <x:c r="W147" s="58"/>
      <x:c r="X147" s="58"/>
      <x:c r="Y147" s="58"/>
      <x:c r="Z147" s="58"/>
    </x:row>
    <x:row r="148">
      <x:c r="A148" s="58"/>
      <x:c r="B148" s="58"/>
      <x:c r="C148" s="58"/>
      <x:c r="D148" s="58"/>
      <x:c r="E148" s="58"/>
      <x:c r="F148" s="58"/>
      <x:c r="G148" s="58"/>
      <x:c r="H148" s="58"/>
      <x:c r="I148" s="58"/>
      <x:c r="J148" s="58"/>
      <x:c r="K148" s="58"/>
      <x:c r="L148" s="58"/>
      <x:c r="M148" s="58"/>
      <x:c r="N148" s="58"/>
      <x:c r="O148" s="58"/>
      <x:c r="P148" s="58"/>
      <x:c r="Q148" s="58"/>
      <x:c r="R148" s="58"/>
      <x:c r="S148" s="58"/>
      <x:c r="T148" s="58"/>
      <x:c r="U148" s="58"/>
      <x:c r="V148" s="58"/>
      <x:c r="W148" s="58"/>
      <x:c r="X148" s="58"/>
      <x:c r="Y148" s="58"/>
      <x:c r="Z148" s="58"/>
    </x:row>
    <x:row r="149">
      <x:c r="A149" s="58"/>
      <x:c r="B149" s="58"/>
      <x:c r="C149" s="58"/>
      <x:c r="D149" s="58"/>
      <x:c r="E149" s="58"/>
      <x:c r="F149" s="58"/>
      <x:c r="G149" s="58"/>
      <x:c r="H149" s="58"/>
      <x:c r="I149" s="58"/>
      <x:c r="J149" s="58"/>
      <x:c r="K149" s="58"/>
      <x:c r="L149" s="58"/>
      <x:c r="M149" s="58"/>
      <x:c r="N149" s="58"/>
      <x:c r="O149" s="58"/>
      <x:c r="P149" s="58"/>
      <x:c r="Q149" s="58"/>
      <x:c r="R149" s="58"/>
      <x:c r="S149" s="58"/>
      <x:c r="T149" s="58"/>
      <x:c r="U149" s="58"/>
      <x:c r="V149" s="58"/>
      <x:c r="W149" s="58"/>
      <x:c r="X149" s="58"/>
      <x:c r="Y149" s="58"/>
      <x:c r="Z149" s="58"/>
    </x:row>
    <x:row r="150">
      <x:c r="A150" s="58"/>
      <x:c r="B150" s="58"/>
      <x:c r="C150" s="58"/>
      <x:c r="D150" s="58"/>
      <x:c r="E150" s="58"/>
      <x:c r="F150" s="58"/>
      <x:c r="G150" s="58"/>
      <x:c r="H150" s="58"/>
      <x:c r="I150" s="58"/>
      <x:c r="J150" s="58"/>
      <x:c r="K150" s="58"/>
      <x:c r="L150" s="58"/>
      <x:c r="M150" s="58"/>
      <x:c r="N150" s="58"/>
      <x:c r="O150" s="58"/>
      <x:c r="P150" s="58"/>
      <x:c r="Q150" s="58"/>
      <x:c r="R150" s="58"/>
      <x:c r="S150" s="58"/>
      <x:c r="T150" s="58"/>
      <x:c r="U150" s="58"/>
      <x:c r="V150" s="58"/>
      <x:c r="W150" s="58"/>
      <x:c r="X150" s="58"/>
      <x:c r="Y150" s="58"/>
      <x:c r="Z150" s="58"/>
    </x:row>
    <x:row r="151">
      <x:c r="A151" s="58"/>
      <x:c r="B151" s="58"/>
      <x:c r="C151" s="58"/>
      <x:c r="D151" s="58"/>
      <x:c r="E151" s="58"/>
      <x:c r="F151" s="58"/>
      <x:c r="G151" s="58"/>
      <x:c r="H151" s="58"/>
      <x:c r="I151" s="58"/>
      <x:c r="J151" s="58"/>
      <x:c r="K151" s="58"/>
      <x:c r="L151" s="58"/>
      <x:c r="M151" s="58"/>
      <x:c r="N151" s="58"/>
      <x:c r="O151" s="58"/>
      <x:c r="P151" s="58"/>
      <x:c r="Q151" s="58"/>
      <x:c r="R151" s="58"/>
      <x:c r="S151" s="58"/>
      <x:c r="T151" s="58"/>
      <x:c r="U151" s="58"/>
      <x:c r="V151" s="58"/>
      <x:c r="W151" s="58"/>
      <x:c r="X151" s="58"/>
      <x:c r="Y151" s="58"/>
      <x:c r="Z151" s="58"/>
    </x:row>
    <x:row r="152">
      <x:c r="A152" s="58"/>
      <x:c r="B152" s="58"/>
      <x:c r="C152" s="58"/>
      <x:c r="D152" s="58"/>
      <x:c r="E152" s="58"/>
      <x:c r="F152" s="58"/>
      <x:c r="G152" s="58"/>
      <x:c r="H152" s="58"/>
      <x:c r="I152" s="58"/>
      <x:c r="J152" s="58"/>
      <x:c r="K152" s="58"/>
      <x:c r="L152" s="58"/>
      <x:c r="M152" s="58"/>
      <x:c r="N152" s="58"/>
      <x:c r="O152" s="58"/>
      <x:c r="P152" s="58"/>
      <x:c r="Q152" s="58"/>
      <x:c r="R152" s="58"/>
      <x:c r="S152" s="58"/>
      <x:c r="T152" s="58"/>
      <x:c r="U152" s="58"/>
      <x:c r="V152" s="58"/>
      <x:c r="W152" s="58"/>
      <x:c r="X152" s="58"/>
      <x:c r="Y152" s="58"/>
      <x:c r="Z152" s="58"/>
    </x:row>
    <x:row r="153">
      <x:c r="A153" s="58"/>
      <x:c r="B153" s="58"/>
      <x:c r="C153" s="58"/>
      <x:c r="D153" s="58"/>
      <x:c r="E153" s="58"/>
      <x:c r="F153" s="58"/>
      <x:c r="G153" s="58"/>
      <x:c r="H153" s="58"/>
      <x:c r="I153" s="58"/>
      <x:c r="J153" s="58"/>
      <x:c r="K153" s="58"/>
      <x:c r="L153" s="58"/>
      <x:c r="M153" s="58"/>
      <x:c r="N153" s="58"/>
      <x:c r="O153" s="58"/>
      <x:c r="P153" s="58"/>
      <x:c r="Q153" s="58"/>
      <x:c r="R153" s="58"/>
      <x:c r="S153" s="58"/>
      <x:c r="T153" s="58"/>
      <x:c r="U153" s="58"/>
      <x:c r="V153" s="58"/>
      <x:c r="W153" s="58"/>
      <x:c r="X153" s="58"/>
      <x:c r="Y153" s="58"/>
      <x:c r="Z153" s="58"/>
    </x:row>
    <x:row r="154">
      <x:c r="A154" s="58"/>
      <x:c r="B154" s="58"/>
      <x:c r="C154" s="58"/>
      <x:c r="D154" s="58"/>
      <x:c r="E154" s="58"/>
      <x:c r="F154" s="58"/>
      <x:c r="G154" s="58"/>
      <x:c r="H154" s="58"/>
      <x:c r="I154" s="58"/>
      <x:c r="J154" s="58"/>
      <x:c r="K154" s="58"/>
      <x:c r="L154" s="58"/>
      <x:c r="M154" s="58"/>
      <x:c r="N154" s="58"/>
      <x:c r="O154" s="58"/>
      <x:c r="P154" s="58"/>
      <x:c r="Q154" s="58"/>
      <x:c r="R154" s="58"/>
      <x:c r="S154" s="58"/>
      <x:c r="T154" s="58"/>
      <x:c r="U154" s="58"/>
      <x:c r="V154" s="58"/>
      <x:c r="W154" s="58"/>
      <x:c r="X154" s="58"/>
      <x:c r="Y154" s="58"/>
      <x:c r="Z154" s="58"/>
    </x:row>
    <x:row r="155">
      <x:c r="A155" s="58"/>
      <x:c r="B155" s="58"/>
      <x:c r="C155" s="58"/>
      <x:c r="D155" s="58"/>
      <x:c r="E155" s="58"/>
      <x:c r="F155" s="58"/>
      <x:c r="G155" s="58"/>
      <x:c r="H155" s="58"/>
      <x:c r="I155" s="58"/>
      <x:c r="J155" s="58"/>
      <x:c r="K155" s="58"/>
      <x:c r="L155" s="58"/>
      <x:c r="M155" s="58"/>
      <x:c r="N155" s="58"/>
      <x:c r="O155" s="58"/>
      <x:c r="P155" s="58"/>
      <x:c r="Q155" s="58"/>
      <x:c r="R155" s="58"/>
      <x:c r="S155" s="58"/>
      <x:c r="T155" s="58"/>
      <x:c r="U155" s="58"/>
      <x:c r="V155" s="58"/>
      <x:c r="W155" s="58"/>
      <x:c r="X155" s="58"/>
      <x:c r="Y155" s="58"/>
      <x:c r="Z155" s="58"/>
    </x:row>
    <x:row r="156">
      <x:c r="A156" s="58"/>
      <x:c r="B156" s="58"/>
      <x:c r="C156" s="58"/>
      <x:c r="D156" s="58"/>
      <x:c r="E156" s="58"/>
      <x:c r="F156" s="58"/>
      <x:c r="G156" s="58"/>
      <x:c r="H156" s="58"/>
      <x:c r="I156" s="58"/>
      <x:c r="J156" s="58"/>
      <x:c r="K156" s="58"/>
      <x:c r="L156" s="58"/>
      <x:c r="M156" s="58"/>
      <x:c r="N156" s="58"/>
      <x:c r="O156" s="58"/>
      <x:c r="P156" s="58"/>
      <x:c r="Q156" s="58"/>
      <x:c r="R156" s="58"/>
      <x:c r="S156" s="58"/>
      <x:c r="T156" s="58"/>
      <x:c r="U156" s="58"/>
      <x:c r="V156" s="58"/>
      <x:c r="W156" s="58"/>
      <x:c r="X156" s="58"/>
      <x:c r="Y156" s="58"/>
      <x:c r="Z156" s="58"/>
    </x:row>
    <x:row r="157">
      <x:c r="A157" s="58"/>
      <x:c r="B157" s="58"/>
      <x:c r="C157" s="58"/>
      <x:c r="D157" s="58"/>
      <x:c r="E157" s="58"/>
      <x:c r="F157" s="58"/>
      <x:c r="G157" s="58"/>
      <x:c r="H157" s="58"/>
      <x:c r="I157" s="58"/>
      <x:c r="J157" s="58"/>
      <x:c r="K157" s="58"/>
      <x:c r="L157" s="58"/>
      <x:c r="M157" s="58"/>
      <x:c r="N157" s="58"/>
      <x:c r="O157" s="58"/>
      <x:c r="P157" s="58"/>
      <x:c r="Q157" s="58"/>
      <x:c r="R157" s="58"/>
      <x:c r="S157" s="58"/>
      <x:c r="T157" s="58"/>
      <x:c r="U157" s="58"/>
      <x:c r="V157" s="58"/>
      <x:c r="W157" s="58"/>
      <x:c r="X157" s="58"/>
      <x:c r="Y157" s="58"/>
      <x:c r="Z157" s="58"/>
    </x:row>
    <x:row r="158">
      <x:c r="A158" s="58"/>
      <x:c r="B158" s="58"/>
      <x:c r="C158" s="58"/>
      <x:c r="D158" s="58"/>
      <x:c r="E158" s="58"/>
      <x:c r="F158" s="58"/>
      <x:c r="G158" s="58"/>
      <x:c r="H158" s="58"/>
      <x:c r="I158" s="58"/>
      <x:c r="J158" s="58"/>
      <x:c r="K158" s="58"/>
      <x:c r="L158" s="58"/>
      <x:c r="M158" s="58"/>
      <x:c r="N158" s="58"/>
      <x:c r="O158" s="58"/>
      <x:c r="P158" s="58"/>
      <x:c r="Q158" s="58"/>
      <x:c r="R158" s="58"/>
      <x:c r="S158" s="58"/>
      <x:c r="T158" s="58"/>
      <x:c r="U158" s="58"/>
      <x:c r="V158" s="58"/>
      <x:c r="W158" s="58"/>
      <x:c r="X158" s="58"/>
      <x:c r="Y158" s="58"/>
      <x:c r="Z158" s="58"/>
    </x:row>
    <x:row r="159">
      <x:c r="A159" s="58"/>
      <x:c r="B159" s="58"/>
      <x:c r="C159" s="58"/>
      <x:c r="D159" s="58"/>
      <x:c r="E159" s="58"/>
      <x:c r="F159" s="58"/>
      <x:c r="G159" s="58"/>
      <x:c r="H159" s="58"/>
      <x:c r="I159" s="58"/>
      <x:c r="J159" s="58"/>
      <x:c r="K159" s="58"/>
      <x:c r="L159" s="58"/>
      <x:c r="M159" s="58"/>
      <x:c r="N159" s="58"/>
      <x:c r="O159" s="58"/>
      <x:c r="P159" s="58"/>
      <x:c r="Q159" s="58"/>
      <x:c r="R159" s="58"/>
      <x:c r="S159" s="58"/>
      <x:c r="T159" s="58"/>
      <x:c r="U159" s="58"/>
      <x:c r="V159" s="58"/>
      <x:c r="W159" s="58"/>
      <x:c r="X159" s="58"/>
      <x:c r="Y159" s="58"/>
      <x:c r="Z159" s="58"/>
    </x:row>
    <x:row r="160">
      <x:c r="A160" s="58"/>
      <x:c r="B160" s="58"/>
      <x:c r="C160" s="58"/>
      <x:c r="D160" s="58"/>
      <x:c r="E160" s="58"/>
      <x:c r="F160" s="58"/>
      <x:c r="G160" s="58"/>
      <x:c r="H160" s="58"/>
      <x:c r="I160" s="58"/>
      <x:c r="J160" s="58"/>
      <x:c r="K160" s="58"/>
      <x:c r="L160" s="58"/>
      <x:c r="M160" s="58"/>
      <x:c r="N160" s="58"/>
      <x:c r="O160" s="58"/>
      <x:c r="P160" s="58"/>
      <x:c r="Q160" s="58"/>
      <x:c r="R160" s="58"/>
      <x:c r="S160" s="58"/>
      <x:c r="T160" s="58"/>
      <x:c r="U160" s="58"/>
      <x:c r="V160" s="58"/>
      <x:c r="W160" s="58"/>
      <x:c r="X160" s="58"/>
      <x:c r="Y160" s="58"/>
      <x:c r="Z160" s="58"/>
    </x:row>
    <x:row r="161">
      <x:c r="A161" s="58"/>
      <x:c r="B161" s="58"/>
      <x:c r="C161" s="58"/>
      <x:c r="D161" s="58"/>
      <x:c r="E161" s="58"/>
      <x:c r="F161" s="58"/>
      <x:c r="G161" s="58"/>
      <x:c r="H161" s="58"/>
      <x:c r="I161" s="58"/>
      <x:c r="J161" s="58"/>
      <x:c r="K161" s="58"/>
      <x:c r="L161" s="58"/>
      <x:c r="M161" s="58"/>
      <x:c r="N161" s="58"/>
      <x:c r="O161" s="58"/>
      <x:c r="P161" s="58"/>
      <x:c r="Q161" s="58"/>
      <x:c r="R161" s="58"/>
      <x:c r="S161" s="58"/>
      <x:c r="T161" s="58"/>
      <x:c r="U161" s="58"/>
      <x:c r="V161" s="58"/>
      <x:c r="W161" s="58"/>
      <x:c r="X161" s="58"/>
      <x:c r="Y161" s="58"/>
      <x:c r="Z161" s="58"/>
    </x:row>
    <x:row r="162">
      <x:c r="A162" s="58"/>
      <x:c r="B162" s="58"/>
      <x:c r="C162" s="58"/>
      <x:c r="D162" s="58"/>
      <x:c r="E162" s="58"/>
      <x:c r="F162" s="58"/>
      <x:c r="G162" s="58"/>
      <x:c r="H162" s="58"/>
      <x:c r="I162" s="58"/>
      <x:c r="J162" s="58"/>
      <x:c r="K162" s="58"/>
      <x:c r="L162" s="58"/>
      <x:c r="M162" s="58"/>
      <x:c r="N162" s="58"/>
      <x:c r="O162" s="58"/>
      <x:c r="P162" s="58"/>
      <x:c r="Q162" s="58"/>
      <x:c r="R162" s="58"/>
      <x:c r="S162" s="58"/>
      <x:c r="T162" s="58"/>
      <x:c r="U162" s="58"/>
      <x:c r="V162" s="58"/>
      <x:c r="W162" s="58"/>
      <x:c r="X162" s="58"/>
      <x:c r="Y162" s="58"/>
      <x:c r="Z162" s="58"/>
    </x:row>
    <x:row r="163">
      <x:c r="A163" s="58"/>
      <x:c r="B163" s="58"/>
      <x:c r="C163" s="58"/>
      <x:c r="D163" s="58"/>
      <x:c r="E163" s="58"/>
      <x:c r="F163" s="58"/>
      <x:c r="G163" s="58"/>
      <x:c r="H163" s="58"/>
      <x:c r="I163" s="58"/>
      <x:c r="J163" s="58"/>
      <x:c r="K163" s="58"/>
      <x:c r="L163" s="58"/>
      <x:c r="M163" s="58"/>
      <x:c r="N163" s="58"/>
      <x:c r="O163" s="58"/>
      <x:c r="P163" s="58"/>
      <x:c r="Q163" s="58"/>
      <x:c r="R163" s="58"/>
      <x:c r="S163" s="58"/>
      <x:c r="T163" s="58"/>
      <x:c r="U163" s="58"/>
      <x:c r="V163" s="58"/>
      <x:c r="W163" s="58"/>
      <x:c r="X163" s="58"/>
      <x:c r="Y163" s="58"/>
      <x:c r="Z163" s="58"/>
    </x:row>
    <x:row r="164">
      <x:c r="A164" s="58"/>
      <x:c r="B164" s="58"/>
      <x:c r="C164" s="58"/>
      <x:c r="D164" s="58"/>
      <x:c r="E164" s="58"/>
      <x:c r="F164" s="58"/>
      <x:c r="G164" s="58"/>
      <x:c r="H164" s="58"/>
      <x:c r="I164" s="58"/>
      <x:c r="J164" s="58"/>
      <x:c r="K164" s="58"/>
      <x:c r="L164" s="58"/>
      <x:c r="M164" s="58"/>
      <x:c r="N164" s="58"/>
      <x:c r="O164" s="58"/>
      <x:c r="P164" s="58"/>
      <x:c r="Q164" s="58"/>
      <x:c r="R164" s="58"/>
      <x:c r="S164" s="58"/>
      <x:c r="T164" s="58"/>
      <x:c r="U164" s="58"/>
      <x:c r="V164" s="58"/>
      <x:c r="W164" s="58"/>
      <x:c r="X164" s="58"/>
      <x:c r="Y164" s="58"/>
      <x:c r="Z164" s="58"/>
    </x:row>
    <x:row r="165">
      <x:c r="A165" s="58"/>
      <x:c r="B165" s="58"/>
      <x:c r="C165" s="58"/>
      <x:c r="D165" s="58"/>
      <x:c r="E165" s="58"/>
      <x:c r="F165" s="58"/>
      <x:c r="G165" s="58"/>
      <x:c r="H165" s="58"/>
      <x:c r="I165" s="58"/>
      <x:c r="J165" s="58"/>
      <x:c r="K165" s="58"/>
      <x:c r="L165" s="58"/>
      <x:c r="M165" s="58"/>
      <x:c r="N165" s="58"/>
      <x:c r="O165" s="58"/>
      <x:c r="P165" s="58"/>
      <x:c r="Q165" s="58"/>
      <x:c r="R165" s="58"/>
      <x:c r="S165" s="58"/>
      <x:c r="T165" s="58"/>
      <x:c r="U165" s="58"/>
      <x:c r="V165" s="58"/>
      <x:c r="W165" s="58"/>
      <x:c r="X165" s="58"/>
      <x:c r="Y165" s="58"/>
      <x:c r="Z165" s="58"/>
    </x:row>
    <x:row r="166">
      <x:c r="A166" s="58"/>
      <x:c r="B166" s="58"/>
      <x:c r="C166" s="58"/>
      <x:c r="D166" s="58"/>
      <x:c r="E166" s="58"/>
      <x:c r="F166" s="58"/>
      <x:c r="G166" s="58"/>
      <x:c r="H166" s="58"/>
      <x:c r="I166" s="58"/>
      <x:c r="J166" s="58"/>
      <x:c r="K166" s="58"/>
      <x:c r="L166" s="58"/>
      <x:c r="M166" s="58"/>
      <x:c r="N166" s="58"/>
      <x:c r="O166" s="58"/>
      <x:c r="P166" s="58"/>
      <x:c r="Q166" s="58"/>
      <x:c r="R166" s="58"/>
      <x:c r="S166" s="58"/>
      <x:c r="T166" s="58"/>
      <x:c r="U166" s="58"/>
      <x:c r="V166" s="58"/>
      <x:c r="W166" s="58"/>
      <x:c r="X166" s="58"/>
      <x:c r="Y166" s="58"/>
      <x:c r="Z166" s="58"/>
    </x:row>
    <x:row r="167">
      <x:c r="A167" s="58"/>
      <x:c r="B167" s="58"/>
      <x:c r="C167" s="58"/>
      <x:c r="D167" s="58"/>
      <x:c r="E167" s="58"/>
      <x:c r="F167" s="58"/>
      <x:c r="G167" s="58"/>
      <x:c r="H167" s="58"/>
      <x:c r="I167" s="58"/>
      <x:c r="J167" s="58"/>
      <x:c r="K167" s="58"/>
      <x:c r="L167" s="58"/>
      <x:c r="M167" s="58"/>
      <x:c r="N167" s="58"/>
      <x:c r="O167" s="58"/>
      <x:c r="P167" s="58"/>
      <x:c r="Q167" s="58"/>
      <x:c r="R167" s="58"/>
      <x:c r="S167" s="58"/>
      <x:c r="T167" s="58"/>
      <x:c r="U167" s="58"/>
      <x:c r="V167" s="58"/>
      <x:c r="W167" s="58"/>
      <x:c r="X167" s="58"/>
      <x:c r="Y167" s="58"/>
      <x:c r="Z167" s="58"/>
    </x:row>
    <x:row r="168">
      <x:c r="A168" s="58"/>
      <x:c r="B168" s="58"/>
      <x:c r="C168" s="58"/>
      <x:c r="D168" s="58"/>
      <x:c r="E168" s="58"/>
      <x:c r="F168" s="58"/>
      <x:c r="G168" s="58"/>
      <x:c r="H168" s="58"/>
      <x:c r="I168" s="58"/>
      <x:c r="J168" s="58"/>
      <x:c r="K168" s="58"/>
      <x:c r="L168" s="58"/>
      <x:c r="M168" s="58"/>
      <x:c r="N168" s="58"/>
      <x:c r="O168" s="58"/>
      <x:c r="P168" s="58"/>
      <x:c r="Q168" s="58"/>
      <x:c r="R168" s="58"/>
      <x:c r="S168" s="58"/>
      <x:c r="T168" s="58"/>
      <x:c r="U168" s="58"/>
      <x:c r="V168" s="58"/>
      <x:c r="W168" s="58"/>
      <x:c r="X168" s="58"/>
      <x:c r="Y168" s="58"/>
      <x:c r="Z168" s="58"/>
    </x:row>
    <x:row r="169">
      <x:c r="A169" s="58"/>
      <x:c r="B169" s="58"/>
      <x:c r="C169" s="58"/>
      <x:c r="D169" s="58"/>
      <x:c r="E169" s="58"/>
      <x:c r="F169" s="58"/>
      <x:c r="G169" s="58"/>
      <x:c r="H169" s="58"/>
      <x:c r="I169" s="58"/>
      <x:c r="J169" s="58"/>
      <x:c r="K169" s="58"/>
      <x:c r="L169" s="58"/>
      <x:c r="M169" s="58"/>
      <x:c r="N169" s="58"/>
      <x:c r="O169" s="58"/>
      <x:c r="P169" s="58"/>
      <x:c r="Q169" s="58"/>
      <x:c r="R169" s="58"/>
      <x:c r="S169" s="58"/>
      <x:c r="T169" s="58"/>
      <x:c r="U169" s="58"/>
      <x:c r="V169" s="58"/>
      <x:c r="W169" s="58"/>
      <x:c r="X169" s="58"/>
      <x:c r="Y169" s="58"/>
      <x:c r="Z169" s="58"/>
    </x:row>
    <x:row r="170">
      <x:c r="A170" s="58"/>
      <x:c r="B170" s="58"/>
      <x:c r="C170" s="58"/>
      <x:c r="D170" s="58"/>
      <x:c r="E170" s="58"/>
      <x:c r="F170" s="58"/>
      <x:c r="G170" s="58"/>
      <x:c r="H170" s="58"/>
      <x:c r="I170" s="58"/>
      <x:c r="J170" s="58"/>
      <x:c r="K170" s="58"/>
      <x:c r="L170" s="58"/>
      <x:c r="M170" s="58"/>
      <x:c r="N170" s="58"/>
      <x:c r="O170" s="58"/>
      <x:c r="P170" s="58"/>
      <x:c r="Q170" s="58"/>
      <x:c r="R170" s="58"/>
      <x:c r="S170" s="58"/>
      <x:c r="T170" s="58"/>
      <x:c r="U170" s="58"/>
      <x:c r="V170" s="58"/>
      <x:c r="W170" s="58"/>
      <x:c r="X170" s="58"/>
      <x:c r="Y170" s="58"/>
      <x:c r="Z170" s="58"/>
    </x:row>
    <x:row r="171">
      <x:c r="A171" s="58"/>
      <x:c r="B171" s="58"/>
      <x:c r="C171" s="58"/>
      <x:c r="D171" s="58"/>
      <x:c r="E171" s="58"/>
      <x:c r="F171" s="58"/>
      <x:c r="G171" s="58"/>
      <x:c r="H171" s="58"/>
      <x:c r="I171" s="58"/>
      <x:c r="J171" s="58"/>
      <x:c r="K171" s="58"/>
      <x:c r="L171" s="58"/>
      <x:c r="M171" s="58"/>
      <x:c r="N171" s="58"/>
      <x:c r="O171" s="58"/>
      <x:c r="P171" s="58"/>
      <x:c r="Q171" s="58"/>
      <x:c r="R171" s="58"/>
      <x:c r="S171" s="58"/>
      <x:c r="T171" s="58"/>
      <x:c r="U171" s="58"/>
      <x:c r="V171" s="58"/>
      <x:c r="W171" s="58"/>
      <x:c r="X171" s="58"/>
      <x:c r="Y171" s="58"/>
      <x:c r="Z171" s="58"/>
    </x:row>
    <x:row r="172">
      <x:c r="A172" s="58"/>
      <x:c r="B172" s="58"/>
      <x:c r="C172" s="58"/>
      <x:c r="D172" s="58"/>
      <x:c r="E172" s="58"/>
      <x:c r="F172" s="58"/>
      <x:c r="G172" s="58"/>
      <x:c r="H172" s="58"/>
      <x:c r="I172" s="58"/>
      <x:c r="J172" s="58"/>
      <x:c r="K172" s="58"/>
      <x:c r="L172" s="58"/>
      <x:c r="M172" s="58"/>
      <x:c r="N172" s="58"/>
      <x:c r="O172" s="58"/>
      <x:c r="P172" s="58"/>
      <x:c r="Q172" s="58"/>
      <x:c r="R172" s="58"/>
      <x:c r="S172" s="58"/>
      <x:c r="T172" s="58"/>
      <x:c r="U172" s="58"/>
      <x:c r="V172" s="58"/>
      <x:c r="W172" s="58"/>
      <x:c r="X172" s="58"/>
      <x:c r="Y172" s="58"/>
      <x:c r="Z172" s="58"/>
    </x:row>
    <x:row r="173">
      <x:c r="A173" s="58"/>
      <x:c r="B173" s="58"/>
      <x:c r="C173" s="58"/>
      <x:c r="D173" s="58"/>
      <x:c r="E173" s="58"/>
      <x:c r="F173" s="58"/>
      <x:c r="G173" s="58"/>
      <x:c r="H173" s="58"/>
      <x:c r="I173" s="58"/>
      <x:c r="J173" s="58"/>
      <x:c r="K173" s="58"/>
      <x:c r="L173" s="58"/>
      <x:c r="M173" s="58"/>
      <x:c r="N173" s="58"/>
      <x:c r="O173" s="58"/>
      <x:c r="P173" s="58"/>
      <x:c r="Q173" s="58"/>
      <x:c r="R173" s="58"/>
      <x:c r="S173" s="58"/>
      <x:c r="T173" s="58"/>
      <x:c r="U173" s="58"/>
      <x:c r="V173" s="58"/>
      <x:c r="W173" s="58"/>
      <x:c r="X173" s="58"/>
      <x:c r="Y173" s="58"/>
      <x:c r="Z173" s="58"/>
    </x:row>
    <x:row r="174">
      <x:c r="A174" s="58"/>
      <x:c r="B174" s="58"/>
      <x:c r="C174" s="58"/>
      <x:c r="D174" s="58"/>
      <x:c r="E174" s="58"/>
      <x:c r="F174" s="58"/>
      <x:c r="G174" s="58"/>
      <x:c r="H174" s="58"/>
      <x:c r="I174" s="58"/>
      <x:c r="J174" s="58"/>
      <x:c r="K174" s="58"/>
      <x:c r="L174" s="58"/>
      <x:c r="M174" s="58"/>
      <x:c r="N174" s="58"/>
      <x:c r="O174" s="58"/>
      <x:c r="P174" s="58"/>
      <x:c r="Q174" s="58"/>
      <x:c r="R174" s="58"/>
      <x:c r="S174" s="58"/>
      <x:c r="T174" s="58"/>
      <x:c r="U174" s="58"/>
      <x:c r="V174" s="58"/>
      <x:c r="W174" s="58"/>
      <x:c r="X174" s="58"/>
      <x:c r="Y174" s="58"/>
      <x:c r="Z174" s="58"/>
    </x:row>
    <x:row r="175">
      <x:c r="A175" s="58"/>
      <x:c r="B175" s="58"/>
      <x:c r="C175" s="58"/>
      <x:c r="D175" s="58"/>
      <x:c r="E175" s="58"/>
      <x:c r="F175" s="58"/>
      <x:c r="G175" s="58"/>
      <x:c r="H175" s="58"/>
      <x:c r="I175" s="58"/>
      <x:c r="J175" s="58"/>
      <x:c r="K175" s="58"/>
      <x:c r="L175" s="58"/>
      <x:c r="M175" s="58"/>
      <x:c r="N175" s="58"/>
      <x:c r="O175" s="58"/>
      <x:c r="P175" s="58"/>
      <x:c r="Q175" s="58"/>
      <x:c r="R175" s="58"/>
      <x:c r="S175" s="58"/>
      <x:c r="T175" s="58"/>
      <x:c r="U175" s="58"/>
      <x:c r="V175" s="58"/>
      <x:c r="W175" s="58"/>
      <x:c r="X175" s="58"/>
      <x:c r="Y175" s="58"/>
      <x:c r="Z175" s="58"/>
    </x:row>
    <x:row r="176">
      <x:c r="A176" s="58"/>
      <x:c r="B176" s="58"/>
      <x:c r="C176" s="58"/>
      <x:c r="D176" s="58"/>
      <x:c r="E176" s="58"/>
      <x:c r="F176" s="58"/>
      <x:c r="G176" s="58"/>
      <x:c r="H176" s="58"/>
      <x:c r="I176" s="58"/>
      <x:c r="J176" s="58"/>
      <x:c r="K176" s="58"/>
      <x:c r="L176" s="58"/>
      <x:c r="M176" s="58"/>
      <x:c r="N176" s="58"/>
      <x:c r="O176" s="58"/>
      <x:c r="P176" s="58"/>
      <x:c r="Q176" s="58"/>
      <x:c r="R176" s="58"/>
      <x:c r="S176" s="58"/>
      <x:c r="T176" s="58"/>
      <x:c r="U176" s="58"/>
      <x:c r="V176" s="58"/>
      <x:c r="W176" s="58"/>
      <x:c r="X176" s="58"/>
      <x:c r="Y176" s="58"/>
      <x:c r="Z176" s="58"/>
    </x:row>
    <x:row r="177">
      <x:c r="A177" s="58"/>
      <x:c r="B177" s="58"/>
      <x:c r="C177" s="58"/>
      <x:c r="D177" s="58"/>
      <x:c r="E177" s="58"/>
      <x:c r="F177" s="58"/>
      <x:c r="G177" s="58"/>
      <x:c r="H177" s="58"/>
      <x:c r="I177" s="58"/>
      <x:c r="J177" s="58"/>
      <x:c r="K177" s="58"/>
      <x:c r="L177" s="58"/>
      <x:c r="M177" s="58"/>
      <x:c r="N177" s="58"/>
      <x:c r="O177" s="58"/>
      <x:c r="P177" s="58"/>
      <x:c r="Q177" s="58"/>
      <x:c r="R177" s="58"/>
      <x:c r="S177" s="58"/>
      <x:c r="T177" s="58"/>
      <x:c r="U177" s="58"/>
      <x:c r="V177" s="58"/>
      <x:c r="W177" s="58"/>
      <x:c r="X177" s="58"/>
      <x:c r="Y177" s="58"/>
      <x:c r="Z177" s="58"/>
    </x:row>
    <x:row r="178">
      <x:c r="A178" s="58"/>
      <x:c r="B178" s="58"/>
      <x:c r="C178" s="58"/>
      <x:c r="D178" s="58"/>
      <x:c r="E178" s="58"/>
      <x:c r="F178" s="58"/>
      <x:c r="G178" s="58"/>
      <x:c r="H178" s="58"/>
      <x:c r="I178" s="58"/>
      <x:c r="J178" s="58"/>
      <x:c r="K178" s="58"/>
      <x:c r="L178" s="58"/>
      <x:c r="M178" s="58"/>
      <x:c r="N178" s="58"/>
      <x:c r="O178" s="58"/>
      <x:c r="P178" s="58"/>
      <x:c r="Q178" s="58"/>
      <x:c r="R178" s="58"/>
      <x:c r="S178" s="58"/>
      <x:c r="T178" s="58"/>
      <x:c r="U178" s="58"/>
      <x:c r="V178" s="58"/>
      <x:c r="W178" s="58"/>
      <x:c r="X178" s="58"/>
      <x:c r="Y178" s="58"/>
      <x:c r="Z178" s="58"/>
    </x:row>
    <x:row r="179">
      <x:c r="A179" s="58"/>
      <x:c r="B179" s="58"/>
      <x:c r="C179" s="58"/>
      <x:c r="D179" s="58"/>
      <x:c r="E179" s="58"/>
      <x:c r="F179" s="58"/>
      <x:c r="G179" s="58"/>
      <x:c r="H179" s="58"/>
      <x:c r="I179" s="58"/>
      <x:c r="J179" s="58"/>
      <x:c r="K179" s="58"/>
      <x:c r="L179" s="58"/>
      <x:c r="M179" s="58"/>
      <x:c r="N179" s="58"/>
      <x:c r="O179" s="58"/>
      <x:c r="P179" s="58"/>
      <x:c r="Q179" s="58"/>
      <x:c r="R179" s="58"/>
      <x:c r="S179" s="58"/>
      <x:c r="T179" s="58"/>
      <x:c r="U179" s="58"/>
      <x:c r="V179" s="58"/>
      <x:c r="W179" s="58"/>
      <x:c r="X179" s="58"/>
      <x:c r="Y179" s="58"/>
      <x:c r="Z179" s="58"/>
    </x:row>
    <x:row r="180">
      <x:c r="A180" s="58"/>
      <x:c r="B180" s="58"/>
      <x:c r="C180" s="58"/>
      <x:c r="D180" s="58"/>
      <x:c r="E180" s="58"/>
      <x:c r="F180" s="58"/>
      <x:c r="G180" s="58"/>
      <x:c r="H180" s="58"/>
      <x:c r="I180" s="58"/>
      <x:c r="J180" s="58"/>
      <x:c r="K180" s="58"/>
      <x:c r="L180" s="58"/>
      <x:c r="M180" s="58"/>
      <x:c r="N180" s="58"/>
      <x:c r="O180" s="58"/>
      <x:c r="P180" s="58"/>
      <x:c r="Q180" s="58"/>
      <x:c r="R180" s="58"/>
      <x:c r="S180" s="58"/>
      <x:c r="T180" s="58"/>
      <x:c r="U180" s="58"/>
      <x:c r="V180" s="58"/>
      <x:c r="W180" s="58"/>
      <x:c r="X180" s="58"/>
      <x:c r="Y180" s="58"/>
      <x:c r="Z180" s="58"/>
    </x:row>
    <x:row r="181">
      <x:c r="A181" s="58"/>
      <x:c r="B181" s="58"/>
      <x:c r="C181" s="58"/>
      <x:c r="D181" s="58"/>
      <x:c r="E181" s="58"/>
      <x:c r="F181" s="58"/>
      <x:c r="G181" s="58"/>
      <x:c r="H181" s="58"/>
      <x:c r="I181" s="58"/>
      <x:c r="J181" s="58"/>
      <x:c r="K181" s="58"/>
      <x:c r="L181" s="58"/>
      <x:c r="M181" s="58"/>
      <x:c r="N181" s="58"/>
      <x:c r="O181" s="58"/>
      <x:c r="P181" s="58"/>
      <x:c r="Q181" s="58"/>
      <x:c r="R181" s="58"/>
      <x:c r="S181" s="58"/>
      <x:c r="T181" s="58"/>
      <x:c r="U181" s="58"/>
      <x:c r="V181" s="58"/>
      <x:c r="W181" s="58"/>
      <x:c r="X181" s="58"/>
      <x:c r="Y181" s="58"/>
      <x:c r="Z181" s="58"/>
    </x:row>
    <x:row r="182">
      <x:c r="A182" s="58"/>
      <x:c r="B182" s="58"/>
      <x:c r="C182" s="58"/>
      <x:c r="D182" s="58"/>
      <x:c r="E182" s="58"/>
      <x:c r="F182" s="58"/>
      <x:c r="G182" s="58"/>
      <x:c r="H182" s="58"/>
      <x:c r="I182" s="58"/>
      <x:c r="J182" s="58"/>
      <x:c r="K182" s="58"/>
      <x:c r="L182" s="58"/>
      <x:c r="M182" s="58"/>
      <x:c r="N182" s="58"/>
      <x:c r="O182" s="58"/>
      <x:c r="P182" s="58"/>
      <x:c r="Q182" s="58"/>
      <x:c r="R182" s="58"/>
      <x:c r="S182" s="58"/>
      <x:c r="T182" s="58"/>
      <x:c r="U182" s="58"/>
      <x:c r="V182" s="58"/>
      <x:c r="W182" s="58"/>
      <x:c r="X182" s="58"/>
      <x:c r="Y182" s="58"/>
      <x:c r="Z182" s="58"/>
    </x:row>
    <x:row r="183">
      <x:c r="A183" s="58"/>
      <x:c r="B183" s="58"/>
      <x:c r="C183" s="58"/>
      <x:c r="D183" s="58"/>
      <x:c r="E183" s="58"/>
      <x:c r="F183" s="58"/>
      <x:c r="G183" s="58"/>
      <x:c r="H183" s="58"/>
      <x:c r="I183" s="58"/>
      <x:c r="J183" s="58"/>
      <x:c r="K183" s="58"/>
      <x:c r="L183" s="58"/>
      <x:c r="M183" s="58"/>
      <x:c r="N183" s="58"/>
      <x:c r="O183" s="58"/>
      <x:c r="P183" s="58"/>
      <x:c r="Q183" s="58"/>
      <x:c r="R183" s="58"/>
      <x:c r="S183" s="58"/>
      <x:c r="T183" s="58"/>
      <x:c r="U183" s="58"/>
      <x:c r="V183" s="58"/>
      <x:c r="W183" s="58"/>
      <x:c r="X183" s="58"/>
      <x:c r="Y183" s="58"/>
      <x:c r="Z183" s="58"/>
    </x:row>
    <x:row r="184">
      <x:c r="A184" s="58"/>
      <x:c r="B184" s="58"/>
      <x:c r="C184" s="58"/>
      <x:c r="D184" s="58"/>
      <x:c r="E184" s="58"/>
      <x:c r="F184" s="58"/>
      <x:c r="G184" s="58"/>
      <x:c r="H184" s="58"/>
      <x:c r="I184" s="58"/>
      <x:c r="J184" s="58"/>
      <x:c r="K184" s="58"/>
      <x:c r="L184" s="58"/>
      <x:c r="M184" s="58"/>
      <x:c r="N184" s="58"/>
      <x:c r="O184" s="58"/>
      <x:c r="P184" s="58"/>
      <x:c r="Q184" s="58"/>
      <x:c r="R184" s="58"/>
      <x:c r="S184" s="58"/>
      <x:c r="T184" s="58"/>
      <x:c r="U184" s="58"/>
      <x:c r="V184" s="58"/>
      <x:c r="W184" s="58"/>
      <x:c r="X184" s="58"/>
      <x:c r="Y184" s="58"/>
      <x:c r="Z184" s="58"/>
    </x:row>
    <x:row r="185">
      <x:c r="A185" s="58"/>
      <x:c r="B185" s="58"/>
      <x:c r="C185" s="58"/>
      <x:c r="D185" s="58"/>
      <x:c r="E185" s="58"/>
      <x:c r="F185" s="58"/>
      <x:c r="G185" s="58"/>
      <x:c r="H185" s="58"/>
      <x:c r="I185" s="58"/>
      <x:c r="J185" s="58"/>
      <x:c r="K185" s="58"/>
      <x:c r="L185" s="58"/>
      <x:c r="M185" s="58"/>
      <x:c r="N185" s="58"/>
      <x:c r="O185" s="58"/>
      <x:c r="P185" s="58"/>
      <x:c r="Q185" s="58"/>
      <x:c r="R185" s="58"/>
      <x:c r="S185" s="58"/>
      <x:c r="T185" s="58"/>
      <x:c r="U185" s="58"/>
      <x:c r="V185" s="58"/>
      <x:c r="W185" s="58"/>
      <x:c r="X185" s="58"/>
      <x:c r="Y185" s="58"/>
      <x:c r="Z185" s="58"/>
    </x:row>
    <x:row r="186">
      <x:c r="A186" s="58"/>
      <x:c r="B186" s="58"/>
      <x:c r="C186" s="58"/>
      <x:c r="D186" s="58"/>
      <x:c r="E186" s="58"/>
      <x:c r="F186" s="58"/>
      <x:c r="G186" s="58"/>
      <x:c r="H186" s="58"/>
      <x:c r="I186" s="58"/>
      <x:c r="J186" s="58"/>
      <x:c r="K186" s="58"/>
      <x:c r="L186" s="58"/>
      <x:c r="M186" s="58"/>
      <x:c r="N186" s="58"/>
      <x:c r="O186" s="58"/>
      <x:c r="P186" s="58"/>
      <x:c r="Q186" s="58"/>
      <x:c r="R186" s="58"/>
      <x:c r="S186" s="58"/>
      <x:c r="T186" s="58"/>
      <x:c r="U186" s="58"/>
      <x:c r="V186" s="58"/>
      <x:c r="W186" s="58"/>
      <x:c r="X186" s="58"/>
      <x:c r="Y186" s="58"/>
      <x:c r="Z186" s="58"/>
    </x:row>
    <x:row r="187">
      <x:c r="A187" s="58"/>
      <x:c r="B187" s="58"/>
      <x:c r="C187" s="58"/>
      <x:c r="D187" s="58"/>
      <x:c r="E187" s="58"/>
      <x:c r="F187" s="58"/>
      <x:c r="G187" s="58"/>
      <x:c r="H187" s="58"/>
      <x:c r="I187" s="58"/>
      <x:c r="J187" s="58"/>
      <x:c r="K187" s="58"/>
      <x:c r="L187" s="58"/>
      <x:c r="M187" s="58"/>
      <x:c r="N187" s="58"/>
      <x:c r="O187" s="58"/>
      <x:c r="P187" s="58"/>
      <x:c r="Q187" s="58"/>
      <x:c r="R187" s="58"/>
      <x:c r="S187" s="58"/>
      <x:c r="T187" s="58"/>
      <x:c r="U187" s="58"/>
      <x:c r="V187" s="58"/>
      <x:c r="W187" s="58"/>
      <x:c r="X187" s="58"/>
      <x:c r="Y187" s="58"/>
      <x:c r="Z187" s="58"/>
    </x:row>
    <x:row r="188">
      <x:c r="A188" s="58"/>
      <x:c r="B188" s="58"/>
      <x:c r="C188" s="58"/>
      <x:c r="D188" s="58"/>
      <x:c r="E188" s="58"/>
      <x:c r="F188" s="58"/>
      <x:c r="G188" s="58"/>
      <x:c r="H188" s="58"/>
      <x:c r="I188" s="58"/>
      <x:c r="J188" s="58"/>
      <x:c r="K188" s="58"/>
      <x:c r="L188" s="58"/>
      <x:c r="M188" s="58"/>
      <x:c r="N188" s="58"/>
      <x:c r="O188" s="58"/>
      <x:c r="P188" s="58"/>
      <x:c r="Q188" s="58"/>
      <x:c r="R188" s="58"/>
      <x:c r="S188" s="58"/>
      <x:c r="T188" s="58"/>
      <x:c r="U188" s="58"/>
      <x:c r="V188" s="58"/>
      <x:c r="W188" s="58"/>
      <x:c r="X188" s="58"/>
      <x:c r="Y188" s="58"/>
      <x:c r="Z188" s="58"/>
    </x:row>
    <x:row r="189">
      <x:c r="A189" s="58"/>
      <x:c r="B189" s="58"/>
      <x:c r="C189" s="58"/>
      <x:c r="D189" s="58"/>
      <x:c r="E189" s="58"/>
      <x:c r="F189" s="58"/>
      <x:c r="G189" s="58"/>
      <x:c r="H189" s="58"/>
      <x:c r="I189" s="58"/>
      <x:c r="J189" s="58"/>
      <x:c r="K189" s="58"/>
      <x:c r="L189" s="58"/>
      <x:c r="M189" s="58"/>
      <x:c r="N189" s="58"/>
      <x:c r="O189" s="58"/>
      <x:c r="P189" s="58"/>
      <x:c r="Q189" s="58"/>
      <x:c r="R189" s="58"/>
      <x:c r="S189" s="58"/>
      <x:c r="T189" s="58"/>
      <x:c r="U189" s="58"/>
      <x:c r="V189" s="58"/>
      <x:c r="W189" s="58"/>
      <x:c r="X189" s="58"/>
      <x:c r="Y189" s="58"/>
      <x:c r="Z189" s="58"/>
    </x:row>
    <x:row r="190">
      <x:c r="A190" s="58"/>
      <x:c r="B190" s="58"/>
      <x:c r="C190" s="58"/>
      <x:c r="D190" s="58"/>
      <x:c r="E190" s="58"/>
      <x:c r="F190" s="58"/>
      <x:c r="G190" s="58"/>
      <x:c r="H190" s="58"/>
      <x:c r="I190" s="58"/>
      <x:c r="J190" s="58"/>
      <x:c r="K190" s="58"/>
      <x:c r="L190" s="58"/>
      <x:c r="M190" s="58"/>
      <x:c r="N190" s="58"/>
      <x:c r="O190" s="58"/>
      <x:c r="P190" s="58"/>
      <x:c r="Q190" s="58"/>
      <x:c r="R190" s="58"/>
      <x:c r="S190" s="58"/>
      <x:c r="T190" s="58"/>
      <x:c r="U190" s="58"/>
      <x:c r="V190" s="58"/>
      <x:c r="W190" s="58"/>
      <x:c r="X190" s="58"/>
      <x:c r="Y190" s="58"/>
      <x:c r="Z190" s="58"/>
    </x:row>
    <x:row r="191">
      <x:c r="A191" s="58"/>
      <x:c r="B191" s="58"/>
      <x:c r="C191" s="58"/>
      <x:c r="D191" s="58"/>
      <x:c r="E191" s="58"/>
      <x:c r="F191" s="58"/>
      <x:c r="G191" s="58"/>
      <x:c r="H191" s="58"/>
      <x:c r="I191" s="58"/>
      <x:c r="J191" s="58"/>
      <x:c r="K191" s="58"/>
      <x:c r="L191" s="58"/>
      <x:c r="M191" s="58"/>
      <x:c r="N191" s="58"/>
      <x:c r="O191" s="58"/>
      <x:c r="P191" s="58"/>
      <x:c r="Q191" s="58"/>
      <x:c r="R191" s="58"/>
      <x:c r="S191" s="58"/>
      <x:c r="T191" s="58"/>
      <x:c r="U191" s="58"/>
      <x:c r="V191" s="58"/>
      <x:c r="W191" s="58"/>
      <x:c r="X191" s="58"/>
      <x:c r="Y191" s="58"/>
      <x:c r="Z191" s="58"/>
    </x:row>
    <x:row r="192">
      <x:c r="A192" s="58"/>
      <x:c r="B192" s="58"/>
      <x:c r="C192" s="58"/>
      <x:c r="D192" s="58"/>
      <x:c r="E192" s="58"/>
      <x:c r="F192" s="58"/>
      <x:c r="G192" s="58"/>
      <x:c r="H192" s="58"/>
      <x:c r="I192" s="58"/>
      <x:c r="J192" s="58"/>
      <x:c r="K192" s="58"/>
      <x:c r="L192" s="58"/>
      <x:c r="M192" s="58"/>
      <x:c r="N192" s="58"/>
      <x:c r="O192" s="58"/>
      <x:c r="P192" s="58"/>
      <x:c r="Q192" s="58"/>
      <x:c r="R192" s="58"/>
      <x:c r="S192" s="58"/>
      <x:c r="T192" s="58"/>
      <x:c r="U192" s="58"/>
      <x:c r="V192" s="58"/>
      <x:c r="W192" s="58"/>
      <x:c r="X192" s="58"/>
      <x:c r="Y192" s="58"/>
      <x:c r="Z192" s="58"/>
    </x:row>
    <x:row r="193">
      <x:c r="A193" s="58"/>
      <x:c r="B193" s="58"/>
      <x:c r="C193" s="58"/>
      <x:c r="D193" s="58"/>
      <x:c r="E193" s="58"/>
      <x:c r="F193" s="58"/>
      <x:c r="G193" s="58"/>
      <x:c r="H193" s="58"/>
      <x:c r="I193" s="58"/>
      <x:c r="J193" s="58"/>
      <x:c r="K193" s="58"/>
      <x:c r="L193" s="58"/>
      <x:c r="M193" s="58"/>
      <x:c r="N193" s="58"/>
      <x:c r="O193" s="58"/>
      <x:c r="P193" s="58"/>
      <x:c r="Q193" s="58"/>
      <x:c r="R193" s="58"/>
      <x:c r="S193" s="58"/>
      <x:c r="T193" s="58"/>
      <x:c r="U193" s="58"/>
      <x:c r="V193" s="58"/>
      <x:c r="W193" s="58"/>
      <x:c r="X193" s="58"/>
      <x:c r="Y193" s="58"/>
      <x:c r="Z193" s="58"/>
    </x:row>
    <x:row r="194">
      <x:c r="A194" s="58"/>
      <x:c r="B194" s="58"/>
      <x:c r="C194" s="58"/>
      <x:c r="D194" s="58"/>
      <x:c r="E194" s="58"/>
      <x:c r="F194" s="58"/>
      <x:c r="G194" s="58"/>
      <x:c r="H194" s="58"/>
      <x:c r="I194" s="58"/>
      <x:c r="J194" s="58"/>
      <x:c r="K194" s="58"/>
      <x:c r="L194" s="58"/>
      <x:c r="M194" s="58"/>
      <x:c r="N194" s="58"/>
      <x:c r="O194" s="58"/>
      <x:c r="P194" s="58"/>
      <x:c r="Q194" s="58"/>
      <x:c r="R194" s="58"/>
      <x:c r="S194" s="58"/>
      <x:c r="T194" s="58"/>
      <x:c r="U194" s="58"/>
      <x:c r="V194" s="58"/>
      <x:c r="W194" s="58"/>
      <x:c r="X194" s="58"/>
      <x:c r="Y194" s="58"/>
      <x:c r="Z194" s="58"/>
    </x:row>
    <x:row r="195">
      <x:c r="A195" s="58"/>
      <x:c r="B195" s="58"/>
      <x:c r="C195" s="58"/>
      <x:c r="D195" s="58"/>
      <x:c r="E195" s="58"/>
      <x:c r="F195" s="58"/>
      <x:c r="G195" s="58"/>
      <x:c r="H195" s="58"/>
      <x:c r="I195" s="58"/>
      <x:c r="J195" s="58"/>
      <x:c r="K195" s="58"/>
      <x:c r="L195" s="58"/>
      <x:c r="M195" s="58"/>
      <x:c r="N195" s="58"/>
      <x:c r="O195" s="58"/>
      <x:c r="P195" s="58"/>
      <x:c r="Q195" s="58"/>
      <x:c r="R195" s="58"/>
      <x:c r="S195" s="58"/>
      <x:c r="T195" s="58"/>
      <x:c r="U195" s="58"/>
      <x:c r="V195" s="58"/>
      <x:c r="W195" s="58"/>
      <x:c r="X195" s="58"/>
      <x:c r="Y195" s="58"/>
      <x:c r="Z195" s="58"/>
    </x:row>
    <x:row r="196">
      <x:c r="A196" s="58"/>
      <x:c r="B196" s="58"/>
      <x:c r="C196" s="58"/>
      <x:c r="D196" s="58"/>
      <x:c r="E196" s="58"/>
      <x:c r="F196" s="58"/>
      <x:c r="G196" s="58"/>
      <x:c r="H196" s="58"/>
      <x:c r="I196" s="58"/>
      <x:c r="J196" s="58"/>
      <x:c r="K196" s="58"/>
      <x:c r="L196" s="58"/>
      <x:c r="M196" s="58"/>
      <x:c r="N196" s="58"/>
      <x:c r="O196" s="58"/>
      <x:c r="P196" s="58"/>
      <x:c r="Q196" s="58"/>
      <x:c r="R196" s="58"/>
      <x:c r="S196" s="58"/>
      <x:c r="T196" s="58"/>
      <x:c r="U196" s="58"/>
      <x:c r="V196" s="58"/>
      <x:c r="W196" s="58"/>
      <x:c r="X196" s="58"/>
      <x:c r="Y196" s="58"/>
      <x:c r="Z196" s="58"/>
    </x:row>
    <x:row r="197">
      <x:c r="A197" s="58"/>
      <x:c r="B197" s="58"/>
      <x:c r="C197" s="58"/>
      <x:c r="D197" s="58"/>
      <x:c r="E197" s="58"/>
      <x:c r="F197" s="58"/>
      <x:c r="G197" s="58"/>
      <x:c r="H197" s="58"/>
      <x:c r="I197" s="58"/>
      <x:c r="J197" s="58"/>
      <x:c r="K197" s="58"/>
      <x:c r="L197" s="58"/>
      <x:c r="M197" s="58"/>
      <x:c r="N197" s="58"/>
      <x:c r="O197" s="58"/>
      <x:c r="P197" s="58"/>
      <x:c r="Q197" s="58"/>
      <x:c r="R197" s="58"/>
      <x:c r="S197" s="58"/>
      <x:c r="T197" s="58"/>
      <x:c r="U197" s="58"/>
      <x:c r="V197" s="58"/>
      <x:c r="W197" s="58"/>
      <x:c r="X197" s="58"/>
      <x:c r="Y197" s="58"/>
      <x:c r="Z197" s="58"/>
    </x:row>
    <x:row r="198">
      <x:c r="A198" s="58"/>
      <x:c r="B198" s="58"/>
      <x:c r="C198" s="58"/>
      <x:c r="D198" s="58"/>
      <x:c r="E198" s="58"/>
      <x:c r="F198" s="58"/>
      <x:c r="G198" s="58"/>
      <x:c r="H198" s="58"/>
      <x:c r="I198" s="58"/>
      <x:c r="J198" s="58"/>
      <x:c r="K198" s="58"/>
      <x:c r="L198" s="58"/>
      <x:c r="M198" s="58"/>
      <x:c r="N198" s="58"/>
      <x:c r="O198" s="58"/>
      <x:c r="P198" s="58"/>
      <x:c r="Q198" s="58"/>
      <x:c r="R198" s="58"/>
      <x:c r="S198" s="58"/>
      <x:c r="T198" s="58"/>
      <x:c r="U198" s="58"/>
      <x:c r="V198" s="58"/>
      <x:c r="W198" s="58"/>
      <x:c r="X198" s="58"/>
      <x:c r="Y198" s="58"/>
      <x:c r="Z198" s="58"/>
    </x:row>
    <x:row r="199">
      <x:c r="A199" s="58"/>
      <x:c r="B199" s="58"/>
      <x:c r="C199" s="58"/>
      <x:c r="D199" s="58"/>
      <x:c r="E199" s="58"/>
      <x:c r="F199" s="58"/>
      <x:c r="G199" s="58"/>
      <x:c r="H199" s="58"/>
      <x:c r="I199" s="58"/>
      <x:c r="J199" s="58"/>
      <x:c r="K199" s="58"/>
      <x:c r="L199" s="58"/>
      <x:c r="M199" s="58"/>
      <x:c r="N199" s="58"/>
      <x:c r="O199" s="58"/>
      <x:c r="P199" s="58"/>
      <x:c r="Q199" s="58"/>
      <x:c r="R199" s="58"/>
      <x:c r="S199" s="58"/>
      <x:c r="T199" s="58"/>
      <x:c r="U199" s="58"/>
      <x:c r="V199" s="58"/>
      <x:c r="W199" s="58"/>
      <x:c r="X199" s="58"/>
      <x:c r="Y199" s="58"/>
      <x:c r="Z199" s="58"/>
    </x:row>
    <x:row r="200">
      <x:c r="A200" s="58"/>
      <x:c r="B200" s="58"/>
      <x:c r="C200" s="58"/>
      <x:c r="D200" s="58"/>
      <x:c r="E200" s="58"/>
      <x:c r="F200" s="58"/>
      <x:c r="G200" s="58"/>
      <x:c r="H200" s="58"/>
      <x:c r="I200" s="58"/>
      <x:c r="J200" s="58"/>
      <x:c r="K200" s="58"/>
      <x:c r="L200" s="58"/>
      <x:c r="M200" s="58"/>
      <x:c r="N200" s="58"/>
      <x:c r="O200" s="58"/>
      <x:c r="P200" s="58"/>
      <x:c r="Q200" s="58"/>
      <x:c r="R200" s="58"/>
      <x:c r="S200" s="58"/>
      <x:c r="T200" s="58"/>
      <x:c r="U200" s="58"/>
      <x:c r="V200" s="58"/>
      <x:c r="W200" s="58"/>
      <x:c r="X200" s="58"/>
      <x:c r="Y200" s="58"/>
      <x:c r="Z200" s="58"/>
    </x:row>
  </x:sheetData>
  <x:mergeCells>
    <x:mergeCell ref="A1:D1"/>
  </x:mergeCells>
  <x:pageMargins left="0.7" right="0.7" top="0.75" bottom="0.75" header="0.3" footer="0.3"/>
</x:worksheet>
</file>